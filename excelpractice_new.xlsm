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kal\Downloads\"/>
    </mc:Choice>
  </mc:AlternateContent>
  <xr:revisionPtr revIDLastSave="0" documentId="13_ncr:1_{CFCE62AC-129E-490D-99DD-CD5CEBF537BF}" xr6:coauthVersionLast="47" xr6:coauthVersionMax="47" xr10:uidLastSave="{00000000-0000-0000-0000-000000000000}"/>
  <bookViews>
    <workbookView xWindow="-120" yWindow="-120" windowWidth="20730" windowHeight="11160" firstSheet="3" activeTab="4" xr2:uid="{A9A1D5DC-71BE-474D-B48A-677A7CE6A7F6}"/>
  </bookViews>
  <sheets>
    <sheet name="Sheet1" sheetId="1" r:id="rId1"/>
    <sheet name="Sheet2" sheetId="2" r:id="rId2"/>
    <sheet name="Sheet7" sheetId="72" r:id="rId3"/>
    <sheet name="Sheet3" sheetId="3" r:id="rId4"/>
    <sheet name="Sheet10" sheetId="23" r:id="rId5"/>
    <sheet name="Sheet33" sheetId="46" r:id="rId6"/>
    <sheet name="Sheet37" sheetId="50" r:id="rId7"/>
    <sheet name="Sheet39" sheetId="54" r:id="rId8"/>
    <sheet name="Sheet42" sheetId="58" r:id="rId9"/>
    <sheet name="Sheet49" sheetId="65" r:id="rId10"/>
    <sheet name="coding" sheetId="68" r:id="rId11"/>
    <sheet name="Sheet4" sheetId="69" r:id="rId12"/>
  </sheets>
  <definedNames>
    <definedName name="_xlnm._FilterDatabase" localSheetId="4" hidden="1">Sheet10!$A$1:$F$19</definedName>
    <definedName name="_xlnm._FilterDatabase" localSheetId="5" hidden="1">Sheet33!$A$1:$F$19</definedName>
    <definedName name="_xlnm._FilterDatabase" localSheetId="6" hidden="1">Sheet37!$A$1:$F$19</definedName>
  </definedNames>
  <calcPr calcId="191029"/>
  <pivotCaches>
    <pivotCache cacheId="6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0" l="1"/>
  <c r="F4" i="50"/>
  <c r="F5" i="50"/>
  <c r="F6" i="50"/>
  <c r="F7" i="50"/>
  <c r="F8" i="50"/>
  <c r="F9" i="50"/>
  <c r="F10" i="50"/>
  <c r="F11" i="50"/>
  <c r="F12" i="50"/>
  <c r="F13" i="50"/>
  <c r="F14" i="50"/>
  <c r="F15" i="50"/>
  <c r="F16" i="50"/>
  <c r="F17" i="50"/>
  <c r="F18" i="50"/>
  <c r="F19" i="50"/>
  <c r="F2" i="50"/>
  <c r="F3" i="46"/>
  <c r="F4" i="46"/>
  <c r="F5" i="46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19" i="46"/>
  <c r="F2" i="46"/>
  <c r="E11" i="65"/>
  <c r="G11" i="65" s="1"/>
  <c r="E12" i="65"/>
  <c r="G12" i="65" s="1"/>
  <c r="E10" i="65"/>
  <c r="G10" i="65" s="1"/>
  <c r="F6" i="58"/>
  <c r="F7" i="58"/>
  <c r="F8" i="58"/>
  <c r="F5" i="58"/>
  <c r="E6" i="58"/>
  <c r="E7" i="58"/>
  <c r="E8" i="58"/>
  <c r="E5" i="58"/>
  <c r="E6" i="54"/>
  <c r="F6" i="54" s="1"/>
  <c r="E7" i="54"/>
  <c r="F7" i="54" s="1"/>
  <c r="E8" i="54"/>
  <c r="F8" i="54" s="1"/>
  <c r="E5" i="54"/>
  <c r="F5" i="54" s="1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" i="23"/>
  <c r="E35" i="3"/>
  <c r="E36" i="3"/>
  <c r="E37" i="3"/>
  <c r="E38" i="3"/>
  <c r="E34" i="3"/>
  <c r="M11" i="3"/>
  <c r="M12" i="3"/>
  <c r="M10" i="3"/>
  <c r="L11" i="3"/>
  <c r="L12" i="3"/>
  <c r="L10" i="3"/>
  <c r="K11" i="3"/>
  <c r="K12" i="3"/>
  <c r="K10" i="3"/>
  <c r="J11" i="3"/>
  <c r="J12" i="3"/>
  <c r="J10" i="3"/>
  <c r="Q6" i="3"/>
  <c r="Q5" i="3"/>
  <c r="Q4" i="3"/>
  <c r="O5" i="3"/>
  <c r="Q3" i="3"/>
  <c r="P6" i="3"/>
  <c r="P5" i="3"/>
  <c r="P4" i="3"/>
  <c r="P3" i="3"/>
  <c r="O6" i="3"/>
  <c r="O4" i="3"/>
  <c r="O3" i="3"/>
  <c r="N6" i="3"/>
  <c r="N5" i="3"/>
  <c r="N4" i="3"/>
  <c r="N3" i="3"/>
  <c r="M4" i="3"/>
  <c r="M5" i="3"/>
  <c r="M6" i="3"/>
  <c r="M3" i="3"/>
  <c r="L4" i="3"/>
  <c r="L5" i="3"/>
  <c r="L6" i="3"/>
  <c r="L3" i="3"/>
  <c r="K6" i="3"/>
  <c r="K5" i="3"/>
  <c r="K4" i="3"/>
  <c r="K3" i="3"/>
  <c r="J6" i="3"/>
  <c r="J5" i="3"/>
  <c r="J4" i="3"/>
  <c r="J3" i="3"/>
  <c r="C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tc={6882CD12-3896-4BC7-89CC-20FA6933B319}</author>
    <author>tc={8F882F51-A9A8-4B61-8511-8781E219B3F7}</author>
    <author>tc={90AD9D61-1F2E-46B5-8B84-E6C7257E9FAF}</author>
  </authors>
  <commentList>
    <comment ref="B2" authorId="0" shapeId="0" xr:uid="{6882CD12-3896-4BC7-89CC-20FA6933B31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This color cell represnts unique name.</t>
        </r>
      </text>
    </comment>
    <comment ref="C2" authorId="1" shapeId="0" xr:uid="{8F882F51-A9A8-4B61-8511-8781E219B3F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This color cell represent Duplicate name.</t>
        </r>
      </text>
    </comment>
    <comment ref="F8" authorId="2" shapeId="0" xr:uid="{90AD9D61-1F2E-46B5-8B84-E6C7257E9FA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This color cell represent bottom 10 values.</t>
        </r>
      </text>
    </comment>
  </commentList>
</comments>
</file>

<file path=xl/sharedStrings.xml><?xml version="1.0" encoding="utf-8"?>
<sst xmlns="http://schemas.openxmlformats.org/spreadsheetml/2006/main" count="478" uniqueCount="180">
  <si>
    <t>Name</t>
  </si>
  <si>
    <t>subject</t>
  </si>
  <si>
    <t>mark</t>
  </si>
  <si>
    <t>roll no</t>
  </si>
  <si>
    <t>viral</t>
  </si>
  <si>
    <t>vinkal</t>
  </si>
  <si>
    <t>amit</t>
  </si>
  <si>
    <t>akash</t>
  </si>
  <si>
    <t>abhay</t>
  </si>
  <si>
    <t>maths</t>
  </si>
  <si>
    <t>preeti</t>
  </si>
  <si>
    <t>pooja</t>
  </si>
  <si>
    <t>avantika</t>
  </si>
  <si>
    <t>aditi</t>
  </si>
  <si>
    <t>anurag</t>
  </si>
  <si>
    <t>arun</t>
  </si>
  <si>
    <t>satish</t>
  </si>
  <si>
    <t>subham</t>
  </si>
  <si>
    <t>sanskriti</t>
  </si>
  <si>
    <t>suman</t>
  </si>
  <si>
    <t>deeraj</t>
  </si>
  <si>
    <t>dhruv</t>
  </si>
  <si>
    <t>damini</t>
  </si>
  <si>
    <t>sandhiya</t>
  </si>
  <si>
    <t>hiren</t>
  </si>
  <si>
    <t>n</t>
  </si>
  <si>
    <t>Company Name</t>
  </si>
  <si>
    <t>Product</t>
  </si>
  <si>
    <t>Amount</t>
  </si>
  <si>
    <t>Accumulated profit</t>
  </si>
  <si>
    <t>Accumulated profit/loss</t>
  </si>
  <si>
    <t>SPGI</t>
  </si>
  <si>
    <t>Workday</t>
  </si>
  <si>
    <t>TOPS</t>
  </si>
  <si>
    <t>CSG</t>
  </si>
  <si>
    <t>JP Morgan</t>
  </si>
  <si>
    <t>Morgan Stanley</t>
  </si>
  <si>
    <t>Citi</t>
  </si>
  <si>
    <t>Axis</t>
  </si>
  <si>
    <t>HDFC</t>
  </si>
  <si>
    <t>Indusind bank</t>
  </si>
  <si>
    <t>ICICI</t>
  </si>
  <si>
    <t>Reliance</t>
  </si>
  <si>
    <t>Tata</t>
  </si>
  <si>
    <t>TCS</t>
  </si>
  <si>
    <t>FIEM Industries</t>
  </si>
  <si>
    <t>Cosmo Films</t>
  </si>
  <si>
    <t>Titan</t>
  </si>
  <si>
    <t>Bajaj</t>
  </si>
  <si>
    <t>Ajanta Pharma</t>
  </si>
  <si>
    <t>Cadila Pharma</t>
  </si>
  <si>
    <t>Zordic</t>
  </si>
  <si>
    <t>Xerox</t>
  </si>
  <si>
    <t>Google</t>
  </si>
  <si>
    <t>Facebook</t>
  </si>
  <si>
    <t>Apple</t>
  </si>
  <si>
    <t>Amazon</t>
  </si>
  <si>
    <t xml:space="preserve">Berkshire </t>
  </si>
  <si>
    <t>Apollo</t>
  </si>
  <si>
    <t>IDFC</t>
  </si>
  <si>
    <t>Ankita</t>
  </si>
  <si>
    <t>Axit</t>
  </si>
  <si>
    <t>Aarav</t>
  </si>
  <si>
    <t>Atul</t>
  </si>
  <si>
    <t>Surbhi</t>
  </si>
  <si>
    <t>Sam</t>
  </si>
  <si>
    <t>Tom</t>
  </si>
  <si>
    <t>Paritosh</t>
  </si>
  <si>
    <t>Suman</t>
  </si>
  <si>
    <t>Shanti</t>
  </si>
  <si>
    <t>Om</t>
  </si>
  <si>
    <t>Jay</t>
  </si>
  <si>
    <t>Jagdish</t>
  </si>
  <si>
    <t>Mansukh</t>
  </si>
  <si>
    <t>Salman</t>
  </si>
  <si>
    <t>Anurag</t>
  </si>
  <si>
    <t>Aditya</t>
  </si>
  <si>
    <t>Aditi</t>
  </si>
  <si>
    <t>Dhiraj</t>
  </si>
  <si>
    <t>Firoz</t>
  </si>
  <si>
    <t>Pratik</t>
  </si>
  <si>
    <t>TV</t>
  </si>
  <si>
    <t>AC</t>
  </si>
  <si>
    <t>Earphone</t>
  </si>
  <si>
    <t>BT speaker</t>
  </si>
  <si>
    <t>Radio</t>
  </si>
  <si>
    <t>Camera</t>
  </si>
  <si>
    <t>DVD Player</t>
  </si>
  <si>
    <t>Refrigerator</t>
  </si>
  <si>
    <t>Mobile</t>
  </si>
  <si>
    <t>Camcoder</t>
  </si>
  <si>
    <t>Cable charger</t>
  </si>
  <si>
    <t>Drumstick</t>
  </si>
  <si>
    <t>Guitar</t>
  </si>
  <si>
    <t>CD Player</t>
  </si>
  <si>
    <t>Alexa</t>
  </si>
  <si>
    <t>Siri</t>
  </si>
  <si>
    <t>Employer name</t>
  </si>
  <si>
    <t>Sales turnover</t>
  </si>
  <si>
    <t>Net profit/loss</t>
  </si>
  <si>
    <t>Formulas</t>
  </si>
  <si>
    <t>Sum</t>
  </si>
  <si>
    <t>Average</t>
  </si>
  <si>
    <t>Count</t>
  </si>
  <si>
    <t>CountA</t>
  </si>
  <si>
    <t>Countif</t>
  </si>
  <si>
    <t>Min</t>
  </si>
  <si>
    <t>Max</t>
  </si>
  <si>
    <t>Mode</t>
  </si>
  <si>
    <t>Particulars</t>
  </si>
  <si>
    <t>Netprofit/loss</t>
  </si>
  <si>
    <t>Accumulated profit/lass</t>
  </si>
  <si>
    <t>SUMIF function</t>
  </si>
  <si>
    <t>Net Profit/loss</t>
  </si>
  <si>
    <t>Co Name</t>
  </si>
  <si>
    <t>Sales Turnover</t>
  </si>
  <si>
    <t>Basant Baid</t>
  </si>
  <si>
    <t>Store Name</t>
  </si>
  <si>
    <t>Quantity</t>
  </si>
  <si>
    <t>Price</t>
  </si>
  <si>
    <t>Total</t>
  </si>
  <si>
    <t>Dmart</t>
  </si>
  <si>
    <t>Shopper</t>
  </si>
  <si>
    <t>Store Manager</t>
  </si>
  <si>
    <t>Store keeper</t>
  </si>
  <si>
    <t>Avenue Mart</t>
  </si>
  <si>
    <t>Raghu</t>
  </si>
  <si>
    <t>Chandu</t>
  </si>
  <si>
    <t>Pinku</t>
  </si>
  <si>
    <t>Mayuri</t>
  </si>
  <si>
    <t>Kumari</t>
  </si>
  <si>
    <t>Sayuri</t>
  </si>
  <si>
    <t>Viral</t>
  </si>
  <si>
    <t>Subject</t>
  </si>
  <si>
    <t>Sending Mail through excel for learning purpose</t>
  </si>
  <si>
    <t>Email</t>
  </si>
  <si>
    <t>Amount Pending</t>
  </si>
  <si>
    <t>Send Remainder</t>
  </si>
  <si>
    <t>Kailesh Devani</t>
  </si>
  <si>
    <t>Viral Meghpara</t>
  </si>
  <si>
    <t>Vinkal Meghpara</t>
  </si>
  <si>
    <t>kailesh.devani@spglobal.com</t>
  </si>
  <si>
    <t>basant.baid@spglobal.com</t>
  </si>
  <si>
    <t>viralmeg@gmail.com</t>
  </si>
  <si>
    <t>vinkal92@gmail.com</t>
  </si>
  <si>
    <t>Body</t>
  </si>
  <si>
    <t>CC</t>
  </si>
  <si>
    <t>viral.m.meghpara@spglobal.com</t>
  </si>
  <si>
    <t>Email id</t>
  </si>
  <si>
    <t>cc</t>
  </si>
  <si>
    <t>Sending mail using excel for learning purpose</t>
  </si>
  <si>
    <t>viral.m.meghpara@gmail.com</t>
  </si>
  <si>
    <t>attachment</t>
  </si>
  <si>
    <t>C:\Users\VIRALMM\Desktop\votingrightjapansepolicy.jpg</t>
  </si>
  <si>
    <t>body</t>
  </si>
  <si>
    <t>send remainder</t>
  </si>
  <si>
    <t>Vinkal</t>
  </si>
  <si>
    <t>Hiren</t>
  </si>
  <si>
    <t>P.hiren1993@gmail.com</t>
  </si>
  <si>
    <t>Attachments</t>
  </si>
  <si>
    <t>Hello</t>
  </si>
  <si>
    <t>SRNO</t>
  </si>
  <si>
    <t>ROLL NO</t>
  </si>
  <si>
    <t>NAME</t>
  </si>
  <si>
    <t>MARKS</t>
  </si>
  <si>
    <t>TOTAL</t>
  </si>
  <si>
    <t>SR NO</t>
  </si>
  <si>
    <t>ram</t>
  </si>
  <si>
    <t>shyam</t>
  </si>
  <si>
    <t>gopi</t>
  </si>
  <si>
    <t>vimal</t>
  </si>
  <si>
    <t>suraj</t>
  </si>
  <si>
    <t>shanti</t>
  </si>
  <si>
    <t>Row Labels</t>
  </si>
  <si>
    <t>Grand Total</t>
  </si>
  <si>
    <t>Sum of Amount</t>
  </si>
  <si>
    <t>Sum of Net profit/loss</t>
  </si>
  <si>
    <t>ADVAIT</t>
  </si>
  <si>
    <t>NISHI</t>
  </si>
  <si>
    <t>GIHF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</si>
</sst>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B050"/>
      <name val="Times New Roman"/>
      <family val="1"/>
    </font>
    <font>
      <sz val="11"/>
      <color rgb="FF0070C0"/>
      <name val="Akkurat Pro"/>
      <family val="2"/>
    </font>
    <font>
      <u/>
      <sz val="11"/>
      <color rgb="FF0070C0"/>
      <name val="Akkurat Pro"/>
      <family val="2"/>
    </font>
    <font>
      <b/>
      <sz val="11"/>
      <color rgb="FF0070C0"/>
      <name val="Akkurat Pro"/>
      <family val="2"/>
    </font>
    <font>
      <sz val="11"/>
      <color rgb="FFC00000"/>
      <name val="Akkurat Pro"/>
      <family val="2"/>
    </font>
    <font>
      <sz val="14"/>
      <color rgb="FF0070C0"/>
      <name val="Akkurat Pro"/>
      <family val="2"/>
    </font>
    <font>
      <sz val="11"/>
      <color theme="1"/>
      <name val="Calibri"/>
      <family val="2"/>
      <scheme val="minor"/>
    </font>
    <font>
      <sz val="11"/>
      <color theme="2" tint="-0.89999084444715716"/>
      <name val="Bahnschrift Light Condensed"/>
      <family val="2"/>
    </font>
    <font>
      <sz val="11"/>
      <color theme="8" tint="0.59999389629810485"/>
      <name val="Bodoni MT Black"/>
      <family val="1"/>
    </font>
    <font>
      <sz val="11"/>
      <color theme="8" tint="0.59999389629810485"/>
      <name val="Corbel"/>
      <family val="2"/>
    </font>
    <font>
      <sz val="11"/>
      <color theme="2" tint="-0.89996032593768116"/>
      <name val="Avenir Next LT Pro"/>
      <family val="2"/>
    </font>
    <font>
      <vertAlign val="subscript"/>
      <sz val="12"/>
      <color theme="2" tint="-0.89992980742820516"/>
      <name val="Trade Gothic Next Heavy"/>
      <family val="2"/>
    </font>
    <font>
      <sz val="11"/>
      <color rgb="FFC00000"/>
      <name val="Agency FB"/>
      <family val="2"/>
    </font>
    <font>
      <sz val="11"/>
      <color rgb="FFFF0000"/>
      <name val="Book Antiqua"/>
      <family val="1"/>
    </font>
    <font>
      <sz val="11"/>
      <color rgb="FF7030A0"/>
      <name val="Amasis MT Pro"/>
      <family val="1"/>
    </font>
    <font>
      <sz val="11"/>
      <color theme="2" tint="-0.89996032593768116"/>
      <name val="Arial Narrow"/>
      <family val="2"/>
    </font>
    <font>
      <b/>
      <sz val="11"/>
      <color rgb="FFFF0000"/>
      <name val="Verdana Pro Cond Light"/>
      <family val="2"/>
    </font>
    <font>
      <sz val="11"/>
      <color theme="1"/>
      <name val="Segoe UI Black"/>
      <family val="2"/>
    </font>
    <font>
      <sz val="14"/>
      <color theme="1"/>
      <name val="Calibri"/>
      <family val="2"/>
      <scheme val="minor"/>
    </font>
    <font>
      <sz val="11"/>
      <color theme="1"/>
      <name val="Vrinda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8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74">
    <xf numFmtId="0" fontId="0" fillId="0" borderId="0" xfId="0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4" fillId="6" borderId="0" xfId="0" applyFont="1" applyFill="1"/>
    <xf numFmtId="0" fontId="5" fillId="6" borderId="0" xfId="0" applyFont="1" applyFill="1"/>
    <xf numFmtId="0" fontId="2" fillId="7" borderId="0" xfId="0" applyFont="1" applyFill="1"/>
    <xf numFmtId="0" fontId="7" fillId="2" borderId="0" xfId="0" applyFont="1" applyFill="1"/>
    <xf numFmtId="0" fontId="3" fillId="6" borderId="0" xfId="0" applyFont="1" applyFill="1" applyAlignment="1">
      <alignment textRotation="45"/>
    </xf>
    <xf numFmtId="0" fontId="3" fillId="2" borderId="0" xfId="0" applyFont="1" applyFill="1" applyAlignment="1">
      <alignment textRotation="90"/>
    </xf>
    <xf numFmtId="0" fontId="3" fillId="8" borderId="0" xfId="0" applyFont="1" applyFill="1"/>
    <xf numFmtId="0" fontId="6" fillId="8" borderId="0" xfId="0" applyFont="1" applyFill="1"/>
    <xf numFmtId="0" fontId="4" fillId="8" borderId="0" xfId="0" applyFont="1" applyFill="1"/>
    <xf numFmtId="0" fontId="2" fillId="7" borderId="1" xfId="0" applyFont="1" applyFill="1" applyBorder="1"/>
    <xf numFmtId="0" fontId="3" fillId="6" borderId="2" xfId="0" applyFont="1" applyFill="1" applyBorder="1"/>
    <xf numFmtId="0" fontId="4" fillId="6" borderId="2" xfId="0" applyFont="1" applyFill="1" applyBorder="1"/>
    <xf numFmtId="0" fontId="3" fillId="2" borderId="2" xfId="0" applyFont="1" applyFill="1" applyBorder="1"/>
    <xf numFmtId="0" fontId="3" fillId="8" borderId="2" xfId="0" applyFont="1" applyFill="1" applyBorder="1"/>
    <xf numFmtId="0" fontId="4" fillId="8" borderId="2" xfId="0" applyFont="1" applyFill="1" applyBorder="1"/>
    <xf numFmtId="0" fontId="3" fillId="2" borderId="3" xfId="0" applyFont="1" applyFill="1" applyBorder="1"/>
    <xf numFmtId="0" fontId="6" fillId="8" borderId="2" xfId="0" applyFont="1" applyFill="1" applyBorder="1"/>
    <xf numFmtId="0" fontId="3" fillId="6" borderId="2" xfId="0" applyFont="1" applyFill="1" applyBorder="1" applyAlignment="1">
      <alignment textRotation="45"/>
    </xf>
    <xf numFmtId="0" fontId="5" fillId="6" borderId="2" xfId="0" applyFont="1" applyFill="1" applyBorder="1"/>
    <xf numFmtId="0" fontId="3" fillId="2" borderId="2" xfId="0" applyFont="1" applyFill="1" applyBorder="1" applyAlignment="1">
      <alignment textRotation="90"/>
    </xf>
    <xf numFmtId="0" fontId="3" fillId="3" borderId="2" xfId="0" applyFont="1" applyFill="1" applyBorder="1"/>
    <xf numFmtId="0" fontId="3" fillId="3" borderId="3" xfId="0" applyFont="1" applyFill="1" applyBorder="1"/>
    <xf numFmtId="0" fontId="3" fillId="4" borderId="2" xfId="0" applyFont="1" applyFill="1" applyBorder="1"/>
    <xf numFmtId="0" fontId="7" fillId="2" borderId="2" xfId="0" applyFont="1" applyFill="1" applyBorder="1"/>
    <xf numFmtId="0" fontId="3" fillId="5" borderId="2" xfId="0" applyFont="1" applyFill="1" applyBorder="1"/>
    <xf numFmtId="0" fontId="3" fillId="5" borderId="3" xfId="0" applyFont="1" applyFill="1" applyBorder="1"/>
    <xf numFmtId="43" fontId="0" fillId="0" borderId="0" xfId="1" applyFont="1"/>
    <xf numFmtId="164" fontId="0" fillId="0" borderId="0" xfId="1" applyNumberFormat="1" applyFont="1"/>
    <xf numFmtId="0" fontId="9" fillId="10" borderId="0" xfId="0" applyFont="1" applyFill="1"/>
    <xf numFmtId="0" fontId="10" fillId="9" borderId="0" xfId="0" applyFont="1" applyFill="1"/>
    <xf numFmtId="0" fontId="11" fillId="9" borderId="0" xfId="0" applyFont="1" applyFill="1"/>
    <xf numFmtId="0" fontId="12" fillId="10" borderId="0" xfId="0" applyFont="1" applyFill="1"/>
    <xf numFmtId="0" fontId="13" fillId="10" borderId="0" xfId="0" applyFont="1" applyFill="1"/>
    <xf numFmtId="0" fontId="14" fillId="11" borderId="0" xfId="0" applyFont="1" applyFill="1"/>
    <xf numFmtId="0" fontId="15" fillId="9" borderId="0" xfId="0" applyFont="1" applyFill="1"/>
    <xf numFmtId="0" fontId="16" fillId="9" borderId="0" xfId="0" applyFont="1" applyFill="1"/>
    <xf numFmtId="164" fontId="17" fillId="12" borderId="0" xfId="1" applyNumberFormat="1" applyFont="1" applyFill="1"/>
    <xf numFmtId="164" fontId="17" fillId="13" borderId="0" xfId="1" applyNumberFormat="1" applyFont="1" applyFill="1"/>
    <xf numFmtId="164" fontId="17" fillId="9" borderId="0" xfId="1" applyNumberFormat="1" applyFont="1" applyFill="1"/>
    <xf numFmtId="164" fontId="18" fillId="5" borderId="0" xfId="1" applyNumberFormat="1" applyFont="1" applyFill="1"/>
    <xf numFmtId="164" fontId="0" fillId="0" borderId="0" xfId="0" applyNumberFormat="1"/>
    <xf numFmtId="0" fontId="0" fillId="0" borderId="0" xfId="0" applyAlignment="1">
      <alignment textRotation="45"/>
    </xf>
    <xf numFmtId="0" fontId="0" fillId="0" borderId="0" xfId="0" applyAlignment="1">
      <alignment textRotation="135"/>
    </xf>
    <xf numFmtId="164" fontId="0" fillId="0" borderId="0" xfId="1" applyNumberFormat="1" applyFont="1" applyAlignment="1">
      <alignment textRotation="45"/>
    </xf>
    <xf numFmtId="164" fontId="0" fillId="0" borderId="0" xfId="1" applyNumberFormat="1" applyFont="1" applyAlignment="1">
      <alignment textRotation="135"/>
    </xf>
    <xf numFmtId="0" fontId="0" fillId="15" borderId="0" xfId="0" applyFill="1"/>
    <xf numFmtId="0" fontId="0" fillId="15" borderId="0" xfId="0" applyFill="1" applyAlignment="1">
      <alignment textRotation="45"/>
    </xf>
    <xf numFmtId="0" fontId="0" fillId="0" borderId="0" xfId="0" applyAlignment="1">
      <alignment vertical="center" textRotation="45"/>
    </xf>
    <xf numFmtId="0" fontId="0" fillId="0" borderId="0" xfId="0" applyAlignment="1">
      <alignment horizontal="right" vertical="center" textRotation="135"/>
    </xf>
    <xf numFmtId="0" fontId="0" fillId="15" borderId="0" xfId="0" applyFill="1" applyAlignment="1">
      <alignment horizontal="right" textRotation="135"/>
    </xf>
    <xf numFmtId="0" fontId="0" fillId="15" borderId="0" xfId="0" applyFill="1" applyAlignment="1">
      <alignment horizontal="right" vertical="center" textRotation="135"/>
    </xf>
    <xf numFmtId="0" fontId="21" fillId="15" borderId="0" xfId="0" applyFont="1" applyFill="1" applyAlignment="1">
      <alignment wrapText="1"/>
    </xf>
    <xf numFmtId="0" fontId="21" fillId="15" borderId="0" xfId="0" applyFont="1" applyFill="1"/>
    <xf numFmtId="0" fontId="21" fillId="15" borderId="0" xfId="0" applyFont="1" applyFill="1" applyAlignment="1">
      <alignment textRotation="90"/>
    </xf>
    <xf numFmtId="0" fontId="21" fillId="15" borderId="0" xfId="0" applyFont="1" applyFill="1" applyAlignment="1"/>
    <xf numFmtId="0" fontId="0" fillId="6" borderId="0" xfId="0" applyFill="1"/>
    <xf numFmtId="0" fontId="0" fillId="6" borderId="4" xfId="0" applyFill="1" applyBorder="1"/>
    <xf numFmtId="0" fontId="0" fillId="0" borderId="4" xfId="0" applyBorder="1"/>
    <xf numFmtId="0" fontId="20" fillId="9" borderId="4" xfId="0" applyFont="1" applyFill="1" applyBorder="1"/>
    <xf numFmtId="0" fontId="22" fillId="16" borderId="4" xfId="0" applyFont="1" applyFill="1" applyBorder="1"/>
    <xf numFmtId="0" fontId="22" fillId="17" borderId="4" xfId="0" applyFont="1" applyFill="1" applyBorder="1"/>
    <xf numFmtId="0" fontId="23" fillId="0" borderId="4" xfId="2" applyBorder="1"/>
    <xf numFmtId="0" fontId="19" fillId="5" borderId="0" xfId="0" applyFont="1" applyFill="1" applyAlignment="1">
      <alignment horizontal="center" vertical="center"/>
    </xf>
    <xf numFmtId="0" fontId="20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omma" xfId="1" builtinId="3"/>
    <cellStyle name="Hyperlink" xfId="2" builtinId="8"/>
    <cellStyle name="Normal" xfId="0" builtinId="0"/>
  </cellStyles>
  <dxfs count="59">
    <dxf>
      <fill>
        <patternFill>
          <fgColor indexed="64"/>
          <bgColor rgb="FFFFC0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Vrinda"/>
        <family val="2"/>
        <scheme val="none"/>
      </font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alignment horizontal="general" vertical="bottom" textRotation="45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6032593768116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6032593768116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6032593768116"/>
        <name val="Arial Narrow"/>
        <family val="2"/>
        <scheme val="none"/>
      </font>
      <numFmt numFmtId="164" formatCode="_(* #,##0_);_(* \(#,##0\);_(* &quot;-&quot;??_);_(@_)"/>
      <fill>
        <patternFill patternType="solid">
          <fgColor indexed="64"/>
          <bgColor theme="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Verdana Pro Cond Light"/>
        <family val="2"/>
        <scheme val="none"/>
      </font>
      <numFmt numFmtId="164" formatCode="_(* #,##0_);_(* \(#,##0\);_(* &quot;-&quot;??_);_(@_)"/>
      <fill>
        <patternFill patternType="solid">
          <fgColor indexed="64"/>
          <bgColor rgb="FFFFC000"/>
        </patternFill>
      </fill>
    </dxf>
    <dxf>
      <font>
        <b val="0"/>
        <i val="0"/>
        <strike val="0"/>
        <outline val="0"/>
        <shadow val="0"/>
        <u val="none"/>
        <vertAlign val="subscript"/>
        <sz val="12"/>
        <color theme="2" tint="-0.89992980742820516"/>
        <name val="Trade Gothic Next Heavy"/>
        <family val="2"/>
        <scheme val="none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2" tint="-0.89996032593768116"/>
        <name val="Avenir Next LT Pro"/>
        <family val="2"/>
        <scheme val="none"/>
      </font>
      <fill>
        <patternFill patternType="solid">
          <fgColor indexed="64"/>
          <bgColor theme="9" tint="0.59999389629810485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Bahnschrift Light Condensed"/>
        <family val="2"/>
        <scheme val="none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ont>
        <strike val="0"/>
        <outline val="0"/>
        <shadow val="0"/>
        <u val="none"/>
        <vertAlign val="baseline"/>
        <sz val="11"/>
        <color theme="8" tint="0.59999389629810485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ill>
        <patternFill patternType="gray125">
          <bgColor theme="3"/>
        </patternFill>
      </fill>
    </dxf>
    <dxf>
      <fill>
        <patternFill patternType="gray125">
          <bgColor theme="5" tint="0.79995117038483843"/>
        </patternFill>
      </fill>
    </dxf>
    <dxf>
      <fill>
        <patternFill>
          <bgColor theme="8" tint="-0.24994659260841701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kkurat Pro"/>
        <family val="2"/>
        <scheme val="none"/>
      </font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kkurat Pro"/>
        <family val="2"/>
        <scheme val="none"/>
      </font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kkurat Pro"/>
        <family val="2"/>
        <scheme val="none"/>
      </font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kkurat Pro"/>
        <family val="2"/>
        <scheme val="none"/>
      </font>
      <fill>
        <patternFill patternType="solid">
          <fgColor indexed="64"/>
          <bgColor theme="7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Times New Roman"/>
        <family val="1"/>
        <scheme val="none"/>
      </font>
      <fill>
        <patternFill patternType="solid">
          <fgColor indexed="64"/>
          <bgColor theme="4" tint="0.59999389629810485"/>
        </patternFill>
      </fill>
    </dxf>
  </dxfs>
  <tableStyles count="0" defaultTableStyle="TableStyleMedium2" defaultPivotStyle="PivotStyleLight16"/>
  <colors>
    <mruColors>
      <color rgb="FF5E40F2"/>
      <color rgb="FFF18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[excelpractice_new.xlsm]Sheet7!PivotTable2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</c:marker>
      </c:pivotFmt>
      <c:pivotFmt>
        <c:idx val="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Sum of Net profit/loss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Sheet7!$A$4:$A$7</c:f>
              <c:strCache>
                <c:ptCount val="3"/>
                <c:pt idx="0">
                  <c:v>Amazon</c:v>
                </c:pt>
                <c:pt idx="1">
                  <c:v>Axis</c:v>
                </c:pt>
                <c:pt idx="2">
                  <c:v>Berkshire </c:v>
                </c:pt>
              </c:strCache>
            </c:strRef>
          </c:cat>
          <c:val>
            <c:numRef>
              <c:f>Sheet7!$B$4:$B$7</c:f>
              <c:numCache>
                <c:formatCode>General</c:formatCode>
                <c:ptCount val="3"/>
                <c:pt idx="0">
                  <c:v>-12000</c:v>
                </c:pt>
                <c:pt idx="1">
                  <c:v>210000</c:v>
                </c:pt>
                <c:pt idx="2">
                  <c:v>-150000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4-4334-87D9-8EEBA7F51F46}"/>
            </c:ext>
          </c:extLst>
        </c:ser>
        <c:ser>
          <c:idx val="1"/>
          <c:order val="1"/>
          <c:tx>
            <c:strRef>
              <c:f>Sheet7!$C$3</c:f>
              <c:strCache>
                <c:ptCount val="1"/>
                <c:pt idx="0">
                  <c:v>Sum of Amount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Sheet7!$A$4:$A$7</c:f>
              <c:strCache>
                <c:ptCount val="3"/>
                <c:pt idx="0">
                  <c:v>Amazon</c:v>
                </c:pt>
                <c:pt idx="1">
                  <c:v>Axis</c:v>
                </c:pt>
                <c:pt idx="2">
                  <c:v>Berkshire </c:v>
                </c:pt>
              </c:strCache>
            </c:strRef>
          </c:cat>
          <c:val>
            <c:numRef>
              <c:f>Sheet7!$C$4:$C$7</c:f>
              <c:numCache>
                <c:formatCode>General</c:formatCode>
                <c:ptCount val="3"/>
                <c:pt idx="0">
                  <c:v>4500</c:v>
                </c:pt>
                <c:pt idx="1">
                  <c:v>3000</c:v>
                </c:pt>
                <c:pt idx="2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24-4334-87D9-8EEBA7F51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610144"/>
        <c:axId val="620612112"/>
      </c:barChart>
      <c:valAx>
        <c:axId val="62061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10144"/>
        <c:crosses val="autoZero"/>
        <c:crossBetween val="between"/>
      </c:valAx>
      <c:catAx>
        <c:axId val="620610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121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23812</xdr:rowOff>
    </xdr:from>
    <xdr:to>
      <xdr:col>10</xdr:col>
      <xdr:colOff>590550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332935-6131-A90F-D1EF-1DF11C2E7B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3</xdr:row>
      <xdr:rowOff>0</xdr:rowOff>
    </xdr:from>
    <xdr:to>
      <xdr:col>17</xdr:col>
      <xdr:colOff>259080</xdr:colOff>
      <xdr:row>8</xdr:row>
      <xdr:rowOff>22860</xdr:rowOff>
    </xdr:to>
    <xdr:sp macro="[0]!learning_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C69571-0324-4E25-B2E7-29949BC783F2}"/>
            </a:ext>
          </a:extLst>
        </xdr:cNvPr>
        <xdr:cNvSpPr/>
      </xdr:nvSpPr>
      <xdr:spPr>
        <a:xfrm>
          <a:off x="7353300" y="548640"/>
          <a:ext cx="3268980" cy="93726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4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Store</a:t>
          </a:r>
          <a:r>
            <a:rPr lang="en-US" sz="4400" baseline="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44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68580</xdr:colOff>
      <xdr:row>13</xdr:row>
      <xdr:rowOff>38100</xdr:rowOff>
    </xdr:from>
    <xdr:to>
      <xdr:col>17</xdr:col>
      <xdr:colOff>312420</xdr:colOff>
      <xdr:row>18</xdr:row>
      <xdr:rowOff>106680</xdr:rowOff>
    </xdr:to>
    <xdr:sp macro="[0]!filter_storena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A71B64-41F4-42D4-864C-5BABE821439C}"/>
            </a:ext>
          </a:extLst>
        </xdr:cNvPr>
        <xdr:cNvSpPr/>
      </xdr:nvSpPr>
      <xdr:spPr>
        <a:xfrm>
          <a:off x="7383780" y="2415540"/>
          <a:ext cx="3291840" cy="98298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5400">
              <a:solidFill>
                <a:srgbClr val="C00000"/>
              </a:solidFill>
              <a:latin typeface="Bodoni MT Poster Compressed" panose="02070706080601050204" pitchFamily="18" charset="0"/>
            </a:rPr>
            <a:t> Filter Macros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17</xdr:col>
      <xdr:colOff>220980</xdr:colOff>
      <xdr:row>6</xdr:row>
      <xdr:rowOff>99060</xdr:rowOff>
    </xdr:to>
    <xdr:sp macro="[0]!learning_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F55FFB-79FF-4520-BC87-315BEA7050A8}"/>
            </a:ext>
          </a:extLst>
        </xdr:cNvPr>
        <xdr:cNvSpPr/>
      </xdr:nvSpPr>
      <xdr:spPr>
        <a:xfrm>
          <a:off x="7315200" y="182880"/>
          <a:ext cx="3268980" cy="101346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4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Store</a:t>
          </a:r>
          <a:r>
            <a:rPr lang="en-US" sz="4400" baseline="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44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17</xdr:col>
      <xdr:colOff>243840</xdr:colOff>
      <xdr:row>18</xdr:row>
      <xdr:rowOff>144780</xdr:rowOff>
    </xdr:to>
    <xdr:sp macro="[0]!filter_storena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DF880F-4B3E-4BF3-AA67-66C2BA21422A}"/>
            </a:ext>
          </a:extLst>
        </xdr:cNvPr>
        <xdr:cNvSpPr/>
      </xdr:nvSpPr>
      <xdr:spPr>
        <a:xfrm>
          <a:off x="7315200" y="2377440"/>
          <a:ext cx="3291840" cy="105918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5400">
              <a:solidFill>
                <a:srgbClr val="C00000"/>
              </a:solidFill>
              <a:latin typeface="Bodoni MT Poster Compressed" panose="02070706080601050204" pitchFamily="18" charset="0"/>
            </a:rPr>
            <a:t> Filter Macros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99060</xdr:colOff>
      <xdr:row>8</xdr:row>
      <xdr:rowOff>15240</xdr:rowOff>
    </xdr:from>
    <xdr:to>
      <xdr:col>7</xdr:col>
      <xdr:colOff>982980</xdr:colOff>
      <xdr:row>11</xdr:row>
      <xdr:rowOff>60960</xdr:rowOff>
    </xdr:to>
    <xdr:sp macro="[0]!COPY_FORM" textlink="">
      <xdr:nvSpPr>
        <xdr:cNvPr id="2" name="Rectangle 1">
          <a:extLst>
            <a:ext uri="{FF2B5EF4-FFF2-40B4-BE49-F238E27FC236}">
              <a16:creationId xmlns:a16="http://schemas.microsoft.com/office/drawing/2014/main" id="{3F22A536-51BE-4CA0-80B3-307885527838}"/>
            </a:ext>
          </a:extLst>
        </xdr:cNvPr>
        <xdr:cNvSpPr/>
      </xdr:nvSpPr>
      <xdr:spPr>
        <a:xfrm>
          <a:off x="3421380" y="1478280"/>
          <a:ext cx="2103120" cy="59436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30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copy form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eghpara, Viral M" id="{91BC4D8E-4E70-4691-907B-632F819AA2FE}" userId="S::Viral.M.Meghpara@spglobal.com::9857f4eb-a059-468f-b8b9-dffd5e7a1dd6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kal" refreshedDate="44753.789915046298" createdVersion="8" refreshedVersion="8" minRefreshableVersion="3" recordCount="29" xr:uid="{D513DE64-F006-416A-A71F-2AEBE3670390}">
  <cacheSource type="worksheet">
    <worksheetSource name="Table4"/>
  </cacheSource>
  <cacheFields count="7">
    <cacheField name="Company Name" numFmtId="0">
      <sharedItems count="29">
        <s v="SPGI"/>
        <s v="Workday"/>
        <s v="TOPS"/>
        <s v="CSG"/>
        <s v="JP Morgan"/>
        <s v="Morgan Stanley"/>
        <s v="Citi"/>
        <s v="Axis"/>
        <s v="HDFC"/>
        <s v="Indusind bank"/>
        <s v="ICICI"/>
        <s v="Reliance"/>
        <s v="Tata"/>
        <s v="TCS"/>
        <s v="FIEM Industries"/>
        <s v="Cosmo Films"/>
        <s v="Titan"/>
        <s v="Bajaj"/>
        <s v="Ajanta Pharma"/>
        <s v="Cadila Pharma"/>
        <s v="Zordic"/>
        <s v="Xerox"/>
        <s v="Google"/>
        <s v="Facebook"/>
        <s v="Apple"/>
        <s v="Amazon"/>
        <s v="Berkshire "/>
        <s v="Apollo"/>
        <s v="IDFC"/>
      </sharedItems>
    </cacheField>
    <cacheField name="Employer name" numFmtId="0">
      <sharedItems/>
    </cacheField>
    <cacheField name="Product" numFmtId="0">
      <sharedItems/>
    </cacheField>
    <cacheField name="Amount" numFmtId="164">
      <sharedItems containsSemiMixedTypes="0" containsString="0" containsNumber="1" containsInteger="1" minValue="250" maxValue="45000" count="26">
        <n v="20000"/>
        <n v="35000"/>
        <n v="1000"/>
        <n v="1500"/>
        <n v="15000"/>
        <n v="2500"/>
        <n v="5000"/>
        <n v="3000"/>
        <n v="6000"/>
        <n v="40000"/>
        <n v="22000"/>
        <n v="25000"/>
        <n v="5800"/>
        <n v="30000"/>
        <n v="1100"/>
        <n v="500"/>
        <n v="250"/>
        <n v="14521"/>
        <n v="8000"/>
        <n v="28000"/>
        <n v="10000"/>
        <n v="45000"/>
        <n v="12000"/>
        <n v="4500"/>
        <n v="4000"/>
        <n v="18000"/>
      </sharedItems>
    </cacheField>
    <cacheField name="Sales turnover" numFmtId="164">
      <sharedItems containsSemiMixedTypes="0" containsString="0" containsNumber="1" containsInteger="1" minValue="100000" maxValue="74126431"/>
    </cacheField>
    <cacheField name="Net profit/loss" numFmtId="164">
      <sharedItems containsSemiMixedTypes="0" containsString="0" containsNumber="1" containsInteger="1" minValue="-190000" maxValue="35000000"/>
    </cacheField>
    <cacheField name="Accumulated profit/loss" numFmtId="164">
      <sharedItems containsSemiMixedTypes="0" containsString="0" containsNumber="1" containsInteger="1" minValue="-3000000" maxValue="1247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s v="Ankita"/>
    <s v="TV"/>
    <x v="0"/>
    <n v="1250000"/>
    <n v="451200"/>
    <n v="2300000"/>
  </r>
  <r>
    <x v="1"/>
    <s v="Axit"/>
    <s v="AC"/>
    <x v="1"/>
    <n v="8500000"/>
    <n v="560000"/>
    <n v="1900000"/>
  </r>
  <r>
    <x v="2"/>
    <s v="Aarav"/>
    <s v="Earphone"/>
    <x v="2"/>
    <n v="2250000"/>
    <n v="150000"/>
    <n v="780000"/>
  </r>
  <r>
    <x v="3"/>
    <s v="Atul"/>
    <s v="BT speaker"/>
    <x v="3"/>
    <n v="1350000"/>
    <n v="200000"/>
    <n v="1200000"/>
  </r>
  <r>
    <x v="4"/>
    <s v="Anurag"/>
    <s v="TV"/>
    <x v="4"/>
    <n v="13500000"/>
    <n v="1800000"/>
    <n v="4500000"/>
  </r>
  <r>
    <x v="5"/>
    <s v="Surbhi"/>
    <s v="Radio"/>
    <x v="5"/>
    <n v="7700000"/>
    <n v="800000"/>
    <n v="3200000"/>
  </r>
  <r>
    <x v="6"/>
    <s v="Tom"/>
    <s v="Camera"/>
    <x v="6"/>
    <n v="6000000"/>
    <n v="-125000"/>
    <n v="-600000"/>
  </r>
  <r>
    <x v="7"/>
    <s v="Sam"/>
    <s v="BT speaker"/>
    <x v="7"/>
    <n v="5000000"/>
    <n v="210000"/>
    <n v="-300000"/>
  </r>
  <r>
    <x v="8"/>
    <s v="Tom"/>
    <s v="DVD Player"/>
    <x v="8"/>
    <n v="1400000"/>
    <n v="80000"/>
    <n v="-130000"/>
  </r>
  <r>
    <x v="9"/>
    <s v="Anurag"/>
    <s v="AC"/>
    <x v="9"/>
    <n v="8000000"/>
    <n v="1000000"/>
    <n v="1745000"/>
  </r>
  <r>
    <x v="10"/>
    <s v="Paritosh"/>
    <s v="Radio"/>
    <x v="5"/>
    <n v="5000000"/>
    <n v="80000"/>
    <n v="780000"/>
  </r>
  <r>
    <x v="11"/>
    <s v="Tom"/>
    <s v="Refrigerator"/>
    <x v="10"/>
    <n v="25600000"/>
    <n v="2500000"/>
    <n v="12475000"/>
  </r>
  <r>
    <x v="12"/>
    <s v="Suman"/>
    <s v="Mobile"/>
    <x v="11"/>
    <n v="5000000"/>
    <n v="-80000"/>
    <n v="-3000000"/>
  </r>
  <r>
    <x v="13"/>
    <s v="Shanti"/>
    <s v="Camcoder"/>
    <x v="12"/>
    <n v="2500000"/>
    <n v="80000"/>
    <n v="3300000"/>
  </r>
  <r>
    <x v="14"/>
    <s v="Om"/>
    <s v="Refrigerator"/>
    <x v="13"/>
    <n v="1784512"/>
    <n v="100000"/>
    <n v="-900000"/>
  </r>
  <r>
    <x v="15"/>
    <s v="Jay"/>
    <s v="Earphone"/>
    <x v="14"/>
    <n v="1800000"/>
    <n v="50000"/>
    <n v="-520000"/>
  </r>
  <r>
    <x v="16"/>
    <s v="Jagdish"/>
    <s v="Cable charger"/>
    <x v="15"/>
    <n v="1500000"/>
    <n v="80000"/>
    <n v="-45000"/>
  </r>
  <r>
    <x v="17"/>
    <s v="Tom"/>
    <s v="Drumstick"/>
    <x v="16"/>
    <n v="100000"/>
    <n v="-45000"/>
    <n v="780000"/>
  </r>
  <r>
    <x v="18"/>
    <s v="Mansukh"/>
    <s v="Guitar"/>
    <x v="17"/>
    <n v="250000"/>
    <n v="-30000"/>
    <n v="50000"/>
  </r>
  <r>
    <x v="19"/>
    <s v="Tom"/>
    <s v="Camera"/>
    <x v="18"/>
    <n v="600000"/>
    <n v="60000"/>
    <n v="300000"/>
  </r>
  <r>
    <x v="20"/>
    <s v="Salman"/>
    <s v="TV"/>
    <x v="19"/>
    <n v="45744157"/>
    <n v="18500000"/>
    <n v="2500000"/>
  </r>
  <r>
    <x v="21"/>
    <s v="Anurag"/>
    <s v="Mobile"/>
    <x v="10"/>
    <n v="4156731"/>
    <n v="700000"/>
    <n v="1600000"/>
  </r>
  <r>
    <x v="22"/>
    <s v="Aditya"/>
    <s v="Guitar"/>
    <x v="20"/>
    <n v="3541561"/>
    <n v="541642"/>
    <n v="4780000"/>
  </r>
  <r>
    <x v="23"/>
    <s v="Aditi"/>
    <s v="AC"/>
    <x v="21"/>
    <n v="74126431"/>
    <n v="35000000"/>
    <n v="6000000"/>
  </r>
  <r>
    <x v="24"/>
    <s v="Suman"/>
    <s v="CD Player"/>
    <x v="22"/>
    <n v="4500000"/>
    <n v="124512"/>
    <n v="-556000"/>
  </r>
  <r>
    <x v="25"/>
    <s v="Dhiraj"/>
    <s v="Alexa"/>
    <x v="23"/>
    <n v="3000000"/>
    <n v="-12000"/>
    <n v="-88000"/>
  </r>
  <r>
    <x v="26"/>
    <s v="Firoz"/>
    <s v="Siri"/>
    <x v="24"/>
    <n v="1254000"/>
    <n v="-150000"/>
    <n v="-700000"/>
  </r>
  <r>
    <x v="27"/>
    <s v="Suman"/>
    <s v="Refrigerator"/>
    <x v="25"/>
    <n v="1453143"/>
    <n v="-190000"/>
    <n v="10000"/>
  </r>
  <r>
    <x v="28"/>
    <s v="Pratik"/>
    <s v="Alexa"/>
    <x v="23"/>
    <n v="461324"/>
    <n v="20000"/>
    <n v="-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F96737-9AB5-4C07-A7A4-D0B6BDD7EDDC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C7" firstHeaderRow="0" firstDataRow="1" firstDataCol="1"/>
  <pivotFields count="7">
    <pivotField axis="axisRow" showAll="0">
      <items count="30">
        <item h="1" x="18"/>
        <item x="25"/>
        <item h="1" x="27"/>
        <item h="1" x="24"/>
        <item x="7"/>
        <item h="1" x="17"/>
        <item x="26"/>
        <item h="1" x="19"/>
        <item h="1" x="6"/>
        <item h="1" x="15"/>
        <item h="1" x="3"/>
        <item h="1" x="23"/>
        <item h="1" x="14"/>
        <item h="1" x="22"/>
        <item h="1" x="8"/>
        <item h="1" x="10"/>
        <item h="1" x="28"/>
        <item h="1" x="9"/>
        <item h="1" x="4"/>
        <item h="1" x="5"/>
        <item h="1" x="11"/>
        <item h="1" x="0"/>
        <item h="1" x="12"/>
        <item h="1" x="13"/>
        <item h="1" x="16"/>
        <item h="1" x="2"/>
        <item h="1" x="1"/>
        <item h="1" x="21"/>
        <item h="1" x="20"/>
        <item t="default"/>
      </items>
    </pivotField>
    <pivotField showAll="0"/>
    <pivotField showAll="0"/>
    <pivotField dataField="1" numFmtId="164" showAll="0"/>
    <pivotField numFmtId="164" showAll="0"/>
    <pivotField dataField="1" numFmtId="164" showAll="0"/>
    <pivotField numFmtId="164" showAll="0"/>
  </pivotFields>
  <rowFields count="1">
    <field x="0"/>
  </rowFields>
  <rowItems count="4">
    <i>
      <x v="1"/>
    </i>
    <i>
      <x v="4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et profit/loss" fld="5" baseField="0" baseItem="0"/>
    <dataField name="Sum of Amount" fld="3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17DA9B-9159-4DF2-B158-A00696D6FA72}" name="Table1" displayName="Table1" ref="A1:D21" totalsRowShown="0" headerRowDxfId="58">
  <autoFilter ref="A1:D21" xr:uid="{6A17DA9B-9159-4DF2-B158-A00696D6FA72}"/>
  <tableColumns count="4">
    <tableColumn id="1" xr3:uid="{F9B581EC-0B26-4241-904A-1E13DE4BB63D}" name="Name" dataDxfId="57"/>
    <tableColumn id="2" xr3:uid="{683B142A-5FD4-4E55-A5D0-AE368B87CB43}" name="roll no" dataDxfId="56"/>
    <tableColumn id="3" xr3:uid="{E6314E43-3700-4DEE-8D21-E77661284AD1}" name="subject" dataDxfId="55"/>
    <tableColumn id="4" xr3:uid="{D338EC59-128E-4A9B-BCC8-78CAEB73E364}" name="mark" dataDxfId="5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5002F9-B6A8-4E6D-B0DE-834A0B255CFB}" name="Table4" displayName="Table4" ref="A1:G30" totalsRowShown="0" headerRowDxfId="49" dataDxfId="48" dataCellStyle="Comma">
  <autoFilter ref="A1:G30" xr:uid="{115002F9-B6A8-4E6D-B0DE-834A0B255CFB}"/>
  <tableColumns count="7">
    <tableColumn id="1" xr3:uid="{56F8D6B2-7FCF-4FD9-8554-A8430871A2BA}" name="Company Name" dataDxfId="47"/>
    <tableColumn id="2" xr3:uid="{6579B99A-0EBE-4A1A-86F2-78438D96A2E0}" name="Employer name" dataDxfId="46"/>
    <tableColumn id="3" xr3:uid="{437E6C1D-906F-4B2A-9128-2BBA4957452C}" name="Product" dataDxfId="45"/>
    <tableColumn id="4" xr3:uid="{155477F3-472C-4C28-9A4E-066B063E56C2}" name="Amount" dataDxfId="44" dataCellStyle="Comma"/>
    <tableColumn id="5" xr3:uid="{41E779A9-52DD-4051-8899-A21A36B0C57F}" name="Sales turnover" dataDxfId="43" dataCellStyle="Comma"/>
    <tableColumn id="6" xr3:uid="{2D7ADE54-2EFC-408E-9790-9CA4737E3D6C}" name="Net profit/loss" dataDxfId="42" dataCellStyle="Comma"/>
    <tableColumn id="7" xr3:uid="{9639B0DF-DCBF-4193-8C51-61F175F395E7}" name="Accumulated profit/loss" dataDxfId="41" dataCellStyle="Comma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87C4C5-EA97-410C-8976-815B29861BE2}" name="Table5" displayName="Table5" ref="I2:Q6" totalsRowShown="0" dataDxfId="40" dataCellStyle="Comma">
  <autoFilter ref="I2:Q6" xr:uid="{A687C4C5-EA97-410C-8976-815B29861BE2}"/>
  <tableColumns count="9">
    <tableColumn id="1" xr3:uid="{76469AA6-5927-4555-A24A-0B14CE4ED514}" name="Particulars"/>
    <tableColumn id="2" xr3:uid="{356C2A58-E8DE-46F3-912C-4E449F5EDB72}" name="Sum" dataDxfId="39"/>
    <tableColumn id="3" xr3:uid="{22588D16-43B6-4905-97D2-4A04FB3C3556}" name="Average" dataDxfId="38" dataCellStyle="Comma"/>
    <tableColumn id="4" xr3:uid="{C2237611-4BF4-4810-901B-CBF4B890F92A}" name="Count">
      <calculatedColumnFormula>COUNT(Table4[Amount])</calculatedColumnFormula>
    </tableColumn>
    <tableColumn id="5" xr3:uid="{837584DF-06F4-45E4-8A6D-35F722DE8CAF}" name="CountA">
      <calculatedColumnFormula>COUNTA(Table4[Company Name])</calculatedColumnFormula>
    </tableColumn>
    <tableColumn id="6" xr3:uid="{F0C18804-DF77-4252-B69C-C396FF318B9C}" name="Countif"/>
    <tableColumn id="7" xr3:uid="{4E9BD4F5-B566-40B8-9F8F-509C18B26EED}" name="Min" dataDxfId="37" dataCellStyle="Comma"/>
    <tableColumn id="8" xr3:uid="{590657B1-FA34-4CD7-8E56-4EE7A0DE12F8}" name="Max" dataDxfId="36" dataCellStyle="Comma"/>
    <tableColumn id="9" xr3:uid="{8BC47831-3D40-47A6-9F9C-B81D9FD7F1EE}" name="Mode" dataDxfId="35" dataCellStyle="Comma"/>
  </tableColumns>
  <tableStyleInfo name="TableStyleDark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DA11C6-48C5-42C7-95CA-FFD7FD835F58}" name="Table6" displayName="Table6" ref="I9:M12" totalsRowShown="0" dataDxfId="34" dataCellStyle="Comma">
  <autoFilter ref="I9:M12" xr:uid="{1EDA11C6-48C5-42C7-95CA-FFD7FD835F58}"/>
  <tableColumns count="5">
    <tableColumn id="1" xr3:uid="{8B170B0E-0481-4381-ACE4-DDDBE0D990B1}" name="Name" dataDxfId="33"/>
    <tableColumn id="2" xr3:uid="{0EA931AF-2EE4-4971-A6C3-78C744FB43E9}" name="Amount" dataDxfId="32" dataCellStyle="Comma">
      <calculatedColumnFormula>SUMIF(Table4[Employer name],I10,Table4[Amount])</calculatedColumnFormula>
    </tableColumn>
    <tableColumn id="3" xr3:uid="{8CDB34F5-C4C4-4B30-8353-7CB795FDA66D}" name="Sales turnover" dataDxfId="31" dataCellStyle="Comma">
      <calculatedColumnFormula>SUMIF(Table4[Employer name],I10,Table4[Sales turnover])</calculatedColumnFormula>
    </tableColumn>
    <tableColumn id="4" xr3:uid="{80B2ADDC-AF6B-4548-B00D-63B01DCE2FA9}" name="Net Profit/loss" dataDxfId="30" dataCellStyle="Comma">
      <calculatedColumnFormula>SUMIF(Table4[Employer name],I10,Table4[Net profit/loss])</calculatedColumnFormula>
    </tableColumn>
    <tableColumn id="5" xr3:uid="{56FA245B-FEB2-4DEB-9724-17CD4ACACEA3}" name="Accumulated profit" dataDxfId="29" dataCellStyle="Comma">
      <calculatedColumnFormula>SUMIF(Table4[Employer name],I10,Table4[Accumulated profit/loss])</calculatedColumnFormula>
    </tableColumn>
  </tableColumns>
  <tableStyleInfo name="TableStyleDark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AB8D90-07E3-416A-AF03-41D147C9B1B4}" name="Table3" displayName="Table3" ref="D33:E38" totalsRowShown="0" dataDxfId="28">
  <autoFilter ref="D33:E38" xr:uid="{18AB8D90-07E3-416A-AF03-41D147C9B1B4}"/>
  <tableColumns count="2">
    <tableColumn id="1" xr3:uid="{1DE6033D-52C6-487B-A3D6-588017C04660}" name="Co Name" dataDxfId="27"/>
    <tableColumn id="2" xr3:uid="{3BCA9BDF-559D-4597-A5F3-6F90E38ED2FC}" name="Sales Turnover" dataDxfId="26">
      <calculatedColumnFormula>VLOOKUP(D34,Table4[],5,FALSE)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2-07-09T13:17:20.87" personId="{91BC4D8E-4E70-4691-907B-632F819AA2FE}" id="{6882CD12-3896-4BC7-89CC-20FA6933B319}">
    <text>This color cell represnts unique name.</text>
  </threadedComment>
  <threadedComment ref="C2" dT="2022-07-09T13:18:08.54" personId="{91BC4D8E-4E70-4691-907B-632F819AA2FE}" id="{8F882F51-A9A8-4B61-8511-8781E219B3F7}">
    <text>This color cell represent Duplicate name.</text>
  </threadedComment>
  <threadedComment ref="F8" dT="2022-07-09T13:18:56.42" personId="{91BC4D8E-4E70-4691-907B-632F819AA2FE}" id="{90AD9D61-1F2E-46B5-8B84-E6C7257E9FAF}">
    <text>This color cell represent bottom 10 values.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table" Target="../tables/table2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vinkal92@gmail.com" TargetMode="External"/><Relationship Id="rId1" Type="http://schemas.openxmlformats.org/officeDocument/2006/relationships/hyperlink" Target="mailto:viralmeg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vinkal92@gmail.com" TargetMode="External"/><Relationship Id="rId2" Type="http://schemas.openxmlformats.org/officeDocument/2006/relationships/hyperlink" Target="mailto:viralmeg@gmail.com" TargetMode="External"/><Relationship Id="rId1" Type="http://schemas.openxmlformats.org/officeDocument/2006/relationships/hyperlink" Target="mailto:viral.m.meghpara@spglobal.com" TargetMode="Externa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vinkal92@gmail.com" TargetMode="External"/><Relationship Id="rId2" Type="http://schemas.openxmlformats.org/officeDocument/2006/relationships/hyperlink" Target="mailto:viralmeg@gmail.com" TargetMode="External"/><Relationship Id="rId1" Type="http://schemas.openxmlformats.org/officeDocument/2006/relationships/hyperlink" Target="mailto:viral.m.meghpara@gmail.com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P.hiren1993@gmail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F0C03-436A-4276-A9C3-05EF8AC2A0BE}">
  <sheetPr codeName="Sheet1"/>
  <dimension ref="A1:D21"/>
  <sheetViews>
    <sheetView workbookViewId="0">
      <selection activeCell="C25" sqref="C25"/>
    </sheetView>
  </sheetViews>
  <sheetFormatPr defaultRowHeight="15"/>
  <cols>
    <col min="3" max="3" width="9.7109375" customWidth="1"/>
  </cols>
  <sheetData>
    <row r="1" spans="1:4" ht="15.75">
      <c r="A1" s="8" t="s">
        <v>0</v>
      </c>
      <c r="B1" s="8" t="s">
        <v>3</v>
      </c>
      <c r="C1" s="8" t="s">
        <v>1</v>
      </c>
      <c r="D1" s="8" t="s">
        <v>2</v>
      </c>
    </row>
    <row r="2" spans="1:4">
      <c r="A2" s="5" t="s">
        <v>4</v>
      </c>
      <c r="B2" s="5">
        <v>1</v>
      </c>
      <c r="C2" s="5" t="s">
        <v>9</v>
      </c>
      <c r="D2" s="3">
        <v>42</v>
      </c>
    </row>
    <row r="3" spans="1:4" ht="33.75">
      <c r="A3" s="5" t="s">
        <v>5</v>
      </c>
      <c r="B3" s="5">
        <v>2</v>
      </c>
      <c r="C3" s="10" t="s">
        <v>9</v>
      </c>
      <c r="D3" s="3">
        <v>32</v>
      </c>
    </row>
    <row r="4" spans="1:4">
      <c r="A4" s="6" t="s">
        <v>6</v>
      </c>
      <c r="B4" s="5">
        <v>3</v>
      </c>
      <c r="C4" s="5" t="s">
        <v>9</v>
      </c>
      <c r="D4" s="3">
        <v>66</v>
      </c>
    </row>
    <row r="5" spans="1:4">
      <c r="A5" s="6" t="s">
        <v>7</v>
      </c>
      <c r="B5" s="5">
        <v>4</v>
      </c>
      <c r="C5" s="7" t="s">
        <v>9</v>
      </c>
      <c r="D5" s="3">
        <v>83</v>
      </c>
    </row>
    <row r="6" spans="1:4">
      <c r="A6" s="5" t="s">
        <v>8</v>
      </c>
      <c r="B6" s="5">
        <v>5</v>
      </c>
      <c r="C6" s="7" t="s">
        <v>9</v>
      </c>
      <c r="D6" s="3">
        <v>21</v>
      </c>
    </row>
    <row r="7" spans="1:4">
      <c r="A7" s="5" t="s">
        <v>10</v>
      </c>
      <c r="B7" s="5">
        <v>6</v>
      </c>
      <c r="C7" s="7" t="s">
        <v>9</v>
      </c>
      <c r="D7" s="3">
        <v>32</v>
      </c>
    </row>
    <row r="8" spans="1:4" ht="18">
      <c r="A8" s="5" t="s">
        <v>11</v>
      </c>
      <c r="B8" s="5">
        <v>7</v>
      </c>
      <c r="C8" s="5" t="s">
        <v>9</v>
      </c>
      <c r="D8" s="9">
        <v>43.25</v>
      </c>
    </row>
    <row r="9" spans="1:4" ht="36">
      <c r="A9" s="1" t="s">
        <v>12</v>
      </c>
      <c r="B9" s="1">
        <v>9</v>
      </c>
      <c r="C9" s="11" t="s">
        <v>9</v>
      </c>
      <c r="D9" s="9">
        <v>54</v>
      </c>
    </row>
    <row r="10" spans="1:4" ht="18">
      <c r="A10" s="1" t="s">
        <v>13</v>
      </c>
      <c r="B10" s="1">
        <v>45</v>
      </c>
      <c r="C10" s="1" t="s">
        <v>9</v>
      </c>
      <c r="D10" s="9">
        <v>65</v>
      </c>
    </row>
    <row r="11" spans="1:4" ht="18">
      <c r="A11" s="1" t="s">
        <v>14</v>
      </c>
      <c r="B11" s="1">
        <v>20</v>
      </c>
      <c r="C11" s="1" t="s">
        <v>9</v>
      </c>
      <c r="D11" s="9">
        <v>76</v>
      </c>
    </row>
    <row r="12" spans="1:4" ht="18">
      <c r="A12" s="12" t="s">
        <v>15</v>
      </c>
      <c r="B12" s="13">
        <v>11</v>
      </c>
      <c r="C12" s="1" t="s">
        <v>9</v>
      </c>
      <c r="D12" s="9">
        <v>32</v>
      </c>
    </row>
    <row r="13" spans="1:4">
      <c r="A13" s="12" t="s">
        <v>16</v>
      </c>
      <c r="B13" s="13">
        <v>12</v>
      </c>
      <c r="C13" s="1" t="s">
        <v>9</v>
      </c>
      <c r="D13" s="1">
        <v>55</v>
      </c>
    </row>
    <row r="14" spans="1:4">
      <c r="A14" s="12" t="s">
        <v>17</v>
      </c>
      <c r="B14" s="13">
        <v>13</v>
      </c>
      <c r="C14" s="1" t="s">
        <v>9</v>
      </c>
      <c r="D14" s="1">
        <v>87</v>
      </c>
    </row>
    <row r="15" spans="1:4">
      <c r="A15" s="14" t="s">
        <v>18</v>
      </c>
      <c r="B15" s="13">
        <v>14</v>
      </c>
      <c r="C15" s="1" t="s">
        <v>9</v>
      </c>
      <c r="D15" s="1">
        <v>67</v>
      </c>
    </row>
    <row r="16" spans="1:4">
      <c r="A16" s="14" t="s">
        <v>19</v>
      </c>
      <c r="B16" s="13">
        <v>15</v>
      </c>
      <c r="C16" s="1" t="s">
        <v>9</v>
      </c>
      <c r="D16" s="4">
        <v>57</v>
      </c>
    </row>
    <row r="17" spans="1:4">
      <c r="A17" s="1" t="s">
        <v>20</v>
      </c>
      <c r="B17" s="1">
        <v>20</v>
      </c>
      <c r="C17" s="1" t="s">
        <v>9</v>
      </c>
      <c r="D17" s="4">
        <v>46</v>
      </c>
    </row>
    <row r="18" spans="1:4">
      <c r="A18" s="1" t="s">
        <v>21</v>
      </c>
      <c r="B18" s="1">
        <v>17</v>
      </c>
      <c r="C18" s="2" t="s">
        <v>9</v>
      </c>
      <c r="D18" s="4">
        <v>88</v>
      </c>
    </row>
    <row r="19" spans="1:4">
      <c r="A19" s="1" t="s">
        <v>22</v>
      </c>
      <c r="B19" s="1">
        <v>18</v>
      </c>
      <c r="C19" s="2" t="s">
        <v>9</v>
      </c>
      <c r="D19" s="4">
        <v>23</v>
      </c>
    </row>
    <row r="20" spans="1:4">
      <c r="A20" s="1" t="s">
        <v>23</v>
      </c>
      <c r="B20" s="1">
        <v>19</v>
      </c>
      <c r="C20" s="2" t="s">
        <v>9</v>
      </c>
      <c r="D20" s="4">
        <v>87</v>
      </c>
    </row>
    <row r="21" spans="1:4">
      <c r="A21" s="1" t="s">
        <v>24</v>
      </c>
      <c r="B21" s="1">
        <v>20</v>
      </c>
      <c r="C21" s="2" t="s">
        <v>9</v>
      </c>
      <c r="D21" s="4">
        <v>65</v>
      </c>
    </row>
  </sheetData>
  <phoneticPr fontId="1" type="noConversion"/>
  <pageMargins left="0.7" right="0.7" top="0.75" bottom="0.75" header="0.3" footer="0.3"/>
  <pageSetup orientation="portrait" horizontalDpi="90" verticalDpi="9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37E7C-80BD-47F7-9593-7BC44A55CD64}">
  <sheetPr codeName="Sheet2"/>
  <dimension ref="A1:U19"/>
  <sheetViews>
    <sheetView workbookViewId="0">
      <selection activeCell="D14" sqref="D14"/>
    </sheetView>
  </sheetViews>
  <sheetFormatPr defaultRowHeight="15"/>
  <sheetData>
    <row r="1" spans="1:21" ht="16.5" thickBot="1">
      <c r="A1" s="15" t="s">
        <v>0</v>
      </c>
      <c r="B1" s="16" t="s">
        <v>4</v>
      </c>
      <c r="C1" s="16" t="s">
        <v>5</v>
      </c>
      <c r="D1" s="17" t="s">
        <v>6</v>
      </c>
      <c r="E1" s="17" t="s">
        <v>7</v>
      </c>
      <c r="F1" s="16" t="s">
        <v>8</v>
      </c>
      <c r="G1" s="16" t="s">
        <v>10</v>
      </c>
      <c r="H1" s="16" t="s">
        <v>11</v>
      </c>
      <c r="I1" s="18" t="s">
        <v>12</v>
      </c>
      <c r="J1" s="18" t="s">
        <v>13</v>
      </c>
      <c r="K1" s="18" t="s">
        <v>14</v>
      </c>
      <c r="L1" s="19" t="s">
        <v>15</v>
      </c>
      <c r="M1" s="19" t="s">
        <v>16</v>
      </c>
      <c r="N1" s="19" t="s">
        <v>17</v>
      </c>
      <c r="O1" s="20" t="s">
        <v>18</v>
      </c>
      <c r="P1" s="20" t="s">
        <v>19</v>
      </c>
      <c r="Q1" s="18" t="s">
        <v>20</v>
      </c>
      <c r="R1" s="18" t="s">
        <v>21</v>
      </c>
      <c r="S1" s="18" t="s">
        <v>22</v>
      </c>
      <c r="T1" s="18" t="s">
        <v>23</v>
      </c>
      <c r="U1" s="21" t="s">
        <v>24</v>
      </c>
    </row>
    <row r="2" spans="1:21" ht="16.5" thickBot="1">
      <c r="A2" s="15" t="s">
        <v>3</v>
      </c>
      <c r="B2" s="16">
        <v>1</v>
      </c>
      <c r="C2" s="16">
        <v>2</v>
      </c>
      <c r="D2" s="16">
        <v>3</v>
      </c>
      <c r="E2" s="16">
        <v>4</v>
      </c>
      <c r="F2" s="16">
        <v>5</v>
      </c>
      <c r="G2" s="16">
        <v>6</v>
      </c>
      <c r="H2" s="16">
        <v>7</v>
      </c>
      <c r="I2" s="18">
        <v>9</v>
      </c>
      <c r="J2" s="18">
        <v>45</v>
      </c>
      <c r="K2" s="18">
        <v>20</v>
      </c>
      <c r="L2" s="22">
        <v>11</v>
      </c>
      <c r="M2" s="22">
        <v>12</v>
      </c>
      <c r="N2" s="22">
        <v>13</v>
      </c>
      <c r="O2" s="22">
        <v>14</v>
      </c>
      <c r="P2" s="22">
        <v>15</v>
      </c>
      <c r="Q2" s="18">
        <v>20</v>
      </c>
      <c r="R2" s="18">
        <v>17</v>
      </c>
      <c r="S2" s="18">
        <v>18</v>
      </c>
      <c r="T2" s="18">
        <v>19</v>
      </c>
      <c r="U2" s="21">
        <v>20</v>
      </c>
    </row>
    <row r="3" spans="1:21" ht="36.75" thickBot="1">
      <c r="A3" s="15" t="s">
        <v>1</v>
      </c>
      <c r="B3" s="16" t="s">
        <v>9</v>
      </c>
      <c r="C3" s="23" t="s">
        <v>9</v>
      </c>
      <c r="D3" s="16" t="s">
        <v>9</v>
      </c>
      <c r="E3" s="24" t="s">
        <v>9</v>
      </c>
      <c r="F3" s="24" t="s">
        <v>9</v>
      </c>
      <c r="G3" s="24" t="s">
        <v>9</v>
      </c>
      <c r="H3" s="16" t="s">
        <v>9</v>
      </c>
      <c r="I3" s="25" t="s">
        <v>9</v>
      </c>
      <c r="J3" s="18" t="s">
        <v>9</v>
      </c>
      <c r="K3" s="18" t="s">
        <v>9</v>
      </c>
      <c r="L3" s="18" t="s">
        <v>9</v>
      </c>
      <c r="M3" s="18" t="s">
        <v>9</v>
      </c>
      <c r="N3" s="18" t="s">
        <v>9</v>
      </c>
      <c r="O3" s="18" t="s">
        <v>9</v>
      </c>
      <c r="P3" s="18" t="s">
        <v>9</v>
      </c>
      <c r="Q3" s="18" t="s">
        <v>9</v>
      </c>
      <c r="R3" s="26" t="s">
        <v>9</v>
      </c>
      <c r="S3" s="26" t="s">
        <v>9</v>
      </c>
      <c r="T3" s="26" t="s">
        <v>9</v>
      </c>
      <c r="U3" s="27" t="s">
        <v>9</v>
      </c>
    </row>
    <row r="4" spans="1:21" ht="18.75" thickBot="1">
      <c r="A4" s="15" t="s">
        <v>2</v>
      </c>
      <c r="B4" s="28">
        <v>42</v>
      </c>
      <c r="C4" s="28">
        <v>32</v>
      </c>
      <c r="D4" s="28">
        <v>66</v>
      </c>
      <c r="E4" s="28">
        <v>83</v>
      </c>
      <c r="F4" s="28">
        <v>21</v>
      </c>
      <c r="G4" s="28">
        <v>32</v>
      </c>
      <c r="H4" s="29">
        <v>43.25</v>
      </c>
      <c r="I4" s="29">
        <v>54</v>
      </c>
      <c r="J4" s="29">
        <v>65</v>
      </c>
      <c r="K4" s="29">
        <v>76</v>
      </c>
      <c r="L4" s="29">
        <v>32</v>
      </c>
      <c r="M4" s="18">
        <v>55</v>
      </c>
      <c r="N4" s="18">
        <v>87</v>
      </c>
      <c r="O4" s="18">
        <v>67</v>
      </c>
      <c r="P4" s="30">
        <v>57</v>
      </c>
      <c r="Q4" s="30">
        <v>46</v>
      </c>
      <c r="R4" s="30">
        <v>88</v>
      </c>
      <c r="S4" s="30">
        <v>23</v>
      </c>
      <c r="T4" s="30">
        <v>87</v>
      </c>
      <c r="U4" s="31">
        <v>65</v>
      </c>
    </row>
    <row r="6" spans="1:21">
      <c r="B6" t="s">
        <v>10</v>
      </c>
      <c r="C6">
        <f>HLOOKUP(G1,A1:U4,4,FALSE)</f>
        <v>32</v>
      </c>
    </row>
    <row r="7" spans="1:21">
      <c r="B7" t="s">
        <v>16</v>
      </c>
    </row>
    <row r="8" spans="1:21">
      <c r="B8" t="s">
        <v>20</v>
      </c>
    </row>
    <row r="9" spans="1:21">
      <c r="B9" t="s">
        <v>21</v>
      </c>
    </row>
    <row r="11" spans="1:21">
      <c r="D11" t="s">
        <v>25</v>
      </c>
    </row>
    <row r="19" spans="7:7">
      <c r="G19" t="s">
        <v>25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304A8-73C4-4076-8971-5DACAD3F567A}">
  <dimension ref="A3:C7"/>
  <sheetViews>
    <sheetView workbookViewId="0">
      <selection activeCell="B18" sqref="B18"/>
    </sheetView>
  </sheetViews>
  <sheetFormatPr defaultRowHeight="15"/>
  <cols>
    <col min="1" max="1" width="13.140625" bestFit="1" customWidth="1"/>
    <col min="2" max="2" width="20.85546875" bestFit="1" customWidth="1"/>
    <col min="3" max="3" width="14.85546875" bestFit="1" customWidth="1"/>
  </cols>
  <sheetData>
    <row r="3" spans="1:3">
      <c r="A3" s="71" t="s">
        <v>173</v>
      </c>
      <c r="B3" t="s">
        <v>176</v>
      </c>
      <c r="C3" t="s">
        <v>175</v>
      </c>
    </row>
    <row r="4" spans="1:3">
      <c r="A4" s="72" t="s">
        <v>56</v>
      </c>
      <c r="B4" s="73">
        <v>-12000</v>
      </c>
      <c r="C4" s="73">
        <v>4500</v>
      </c>
    </row>
    <row r="5" spans="1:3">
      <c r="A5" s="72" t="s">
        <v>38</v>
      </c>
      <c r="B5" s="73">
        <v>210000</v>
      </c>
      <c r="C5" s="73">
        <v>3000</v>
      </c>
    </row>
    <row r="6" spans="1:3">
      <c r="A6" s="72" t="s">
        <v>57</v>
      </c>
      <c r="B6" s="73">
        <v>-150000</v>
      </c>
      <c r="C6" s="73">
        <v>4000</v>
      </c>
    </row>
    <row r="7" spans="1:3">
      <c r="A7" s="72" t="s">
        <v>174</v>
      </c>
      <c r="B7" s="73">
        <v>48000</v>
      </c>
      <c r="C7" s="73">
        <v>11500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27F57-678D-485E-A96B-1CBB7F64140B}">
  <sheetPr codeName="Sheet3"/>
  <dimension ref="A1:Q38"/>
  <sheetViews>
    <sheetView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F33" sqref="F33"/>
    </sheetView>
  </sheetViews>
  <sheetFormatPr defaultRowHeight="15"/>
  <cols>
    <col min="1" max="1" width="19.140625" bestFit="1" customWidth="1"/>
    <col min="2" max="2" width="16.5703125" bestFit="1" customWidth="1"/>
    <col min="3" max="3" width="12.140625" bestFit="1" customWidth="1"/>
    <col min="4" max="4" width="10.7109375" bestFit="1" customWidth="1"/>
    <col min="5" max="5" width="17.28515625" bestFit="1" customWidth="1"/>
    <col min="6" max="6" width="17.7109375" bestFit="1" customWidth="1"/>
    <col min="7" max="7" width="27.140625" bestFit="1" customWidth="1"/>
    <col min="9" max="9" width="20.5703125" bestFit="1" customWidth="1"/>
    <col min="10" max="10" width="15.28515625" bestFit="1" customWidth="1"/>
    <col min="11" max="11" width="14.85546875" customWidth="1"/>
    <col min="12" max="12" width="15" customWidth="1"/>
    <col min="13" max="13" width="19.140625" customWidth="1"/>
    <col min="14" max="14" width="9.140625" customWidth="1"/>
    <col min="15" max="15" width="13.28515625" bestFit="1" customWidth="1"/>
    <col min="16" max="16" width="13.7109375" bestFit="1" customWidth="1"/>
    <col min="17" max="17" width="12.5703125" bestFit="1" customWidth="1"/>
  </cols>
  <sheetData>
    <row r="1" spans="1:17" ht="16.5">
      <c r="A1" s="35" t="s">
        <v>26</v>
      </c>
      <c r="B1" s="36" t="s">
        <v>97</v>
      </c>
      <c r="C1" s="39" t="s">
        <v>27</v>
      </c>
      <c r="D1" s="40" t="s">
        <v>28</v>
      </c>
      <c r="E1" s="41" t="s">
        <v>98</v>
      </c>
      <c r="F1" s="41" t="s">
        <v>99</v>
      </c>
      <c r="G1" s="41" t="s">
        <v>30</v>
      </c>
      <c r="I1" s="68" t="s">
        <v>100</v>
      </c>
      <c r="J1" s="68"/>
      <c r="K1" s="68"/>
      <c r="L1" s="68"/>
      <c r="M1" s="68"/>
    </row>
    <row r="2" spans="1:17" ht="19.5">
      <c r="A2" s="34" t="s">
        <v>31</v>
      </c>
      <c r="B2" s="37" t="s">
        <v>60</v>
      </c>
      <c r="C2" s="38" t="s">
        <v>81</v>
      </c>
      <c r="D2" s="45">
        <v>20000</v>
      </c>
      <c r="E2" s="42">
        <v>1250000</v>
      </c>
      <c r="F2" s="43">
        <v>451200</v>
      </c>
      <c r="G2" s="44">
        <v>2300000</v>
      </c>
      <c r="I2" t="s">
        <v>109</v>
      </c>
      <c r="J2" t="s">
        <v>101</v>
      </c>
      <c r="K2" t="s">
        <v>102</v>
      </c>
      <c r="L2" t="s">
        <v>103</v>
      </c>
      <c r="M2" t="s">
        <v>104</v>
      </c>
      <c r="N2" t="s">
        <v>105</v>
      </c>
      <c r="O2" t="s">
        <v>106</v>
      </c>
      <c r="P2" t="s">
        <v>107</v>
      </c>
      <c r="Q2" t="s">
        <v>108</v>
      </c>
    </row>
    <row r="3" spans="1:17" ht="19.5">
      <c r="A3" s="34" t="s">
        <v>32</v>
      </c>
      <c r="B3" s="37" t="s">
        <v>61</v>
      </c>
      <c r="C3" s="38" t="s">
        <v>82</v>
      </c>
      <c r="D3" s="45">
        <v>35000</v>
      </c>
      <c r="E3" s="42">
        <v>8500000</v>
      </c>
      <c r="F3" s="43">
        <v>560000</v>
      </c>
      <c r="G3" s="44">
        <v>1900000</v>
      </c>
      <c r="I3" t="s">
        <v>28</v>
      </c>
      <c r="J3" s="46">
        <f>SUM(Table4[Amount])</f>
        <v>386671</v>
      </c>
      <c r="K3" s="32">
        <f>AVERAGE(Table4[Amount])</f>
        <v>13333.48275862069</v>
      </c>
      <c r="L3">
        <f>COUNT(Table4[Amount])</f>
        <v>29</v>
      </c>
      <c r="M3">
        <f>COUNTA(Table4[Company Name])</f>
        <v>29</v>
      </c>
      <c r="N3">
        <f>COUNTIFS(Table4[Amount],"&gt;30000",Table4[Amount],"&lt;50000" )</f>
        <v>3</v>
      </c>
      <c r="O3" s="33">
        <f>MIN(Table4[Amount])</f>
        <v>250</v>
      </c>
      <c r="P3" s="33">
        <f>MAX(Table4[Amount])</f>
        <v>45000</v>
      </c>
      <c r="Q3" s="33">
        <f>_xlfn.MODE.SNGL(Table4[Amount])</f>
        <v>2500</v>
      </c>
    </row>
    <row r="4" spans="1:17" ht="19.5">
      <c r="A4" s="34" t="s">
        <v>33</v>
      </c>
      <c r="B4" s="37" t="s">
        <v>62</v>
      </c>
      <c r="C4" s="38" t="s">
        <v>83</v>
      </c>
      <c r="D4" s="45">
        <v>1000</v>
      </c>
      <c r="E4" s="42">
        <v>2250000</v>
      </c>
      <c r="F4" s="43">
        <v>150000</v>
      </c>
      <c r="G4" s="44">
        <v>780000</v>
      </c>
      <c r="I4" t="s">
        <v>98</v>
      </c>
      <c r="J4" s="33">
        <f>SUM(Table4[Sales turnover])</f>
        <v>237321859</v>
      </c>
      <c r="K4" s="32">
        <f>AVERAGE(Table4[Sales turnover])</f>
        <v>8183512.3793103453</v>
      </c>
      <c r="L4">
        <f>COUNT(Table4[Amount])</f>
        <v>29</v>
      </c>
      <c r="M4">
        <f>COUNTA(Table4[Company Name])</f>
        <v>29</v>
      </c>
      <c r="N4">
        <f>COUNTIF(Table4[Sales turnover],"&lt;&gt; 7700000")</f>
        <v>28</v>
      </c>
      <c r="O4" s="33">
        <f>MIN(Table4[Sales turnover])</f>
        <v>100000</v>
      </c>
      <c r="P4" s="33">
        <f>MAX(Table4[Sales turnover])</f>
        <v>74126431</v>
      </c>
      <c r="Q4" s="33">
        <f>_xlfn.MODE.SNGL(Table4[Sales turnover])</f>
        <v>5000000</v>
      </c>
    </row>
    <row r="5" spans="1:17" ht="19.5">
      <c r="A5" s="34" t="s">
        <v>34</v>
      </c>
      <c r="B5" s="37" t="s">
        <v>63</v>
      </c>
      <c r="C5" s="38" t="s">
        <v>84</v>
      </c>
      <c r="D5" s="45">
        <v>1500</v>
      </c>
      <c r="E5" s="42">
        <v>1350000</v>
      </c>
      <c r="F5" s="43">
        <v>200000</v>
      </c>
      <c r="G5" s="44">
        <v>1200000</v>
      </c>
      <c r="I5" t="s">
        <v>110</v>
      </c>
      <c r="J5" s="46">
        <f>SUM(Table4[Net profit/loss])</f>
        <v>62455354</v>
      </c>
      <c r="K5" s="32">
        <f>AVERAGE(Table4[Net profit/loss])</f>
        <v>2153632.8965517241</v>
      </c>
      <c r="L5">
        <f>COUNT(Table4[Amount])</f>
        <v>29</v>
      </c>
      <c r="M5">
        <f>COUNTA(Table4[Company Name])</f>
        <v>29</v>
      </c>
      <c r="N5">
        <f>COUNTIF(Table4[[Company Name]:[Net profit/loss]],"Suman")</f>
        <v>3</v>
      </c>
      <c r="O5" s="33">
        <f>MIN(Table4[Net profit/loss])</f>
        <v>-190000</v>
      </c>
      <c r="P5" s="33">
        <f>MAX(Table4[Net profit/loss])</f>
        <v>35000000</v>
      </c>
      <c r="Q5" s="33">
        <f>MODE(Table4[Net profit/loss])</f>
        <v>80000</v>
      </c>
    </row>
    <row r="6" spans="1:17" ht="19.5">
      <c r="A6" s="34" t="s">
        <v>35</v>
      </c>
      <c r="B6" s="37" t="s">
        <v>75</v>
      </c>
      <c r="C6" s="38" t="s">
        <v>81</v>
      </c>
      <c r="D6" s="45">
        <v>15000</v>
      </c>
      <c r="E6" s="42">
        <v>13500000</v>
      </c>
      <c r="F6" s="43">
        <v>1800000</v>
      </c>
      <c r="G6" s="44">
        <v>4500000</v>
      </c>
      <c r="I6" t="s">
        <v>111</v>
      </c>
      <c r="J6" s="46">
        <f>SUM(Table4[Accumulated profit/loss])</f>
        <v>41346000</v>
      </c>
      <c r="K6" s="32">
        <f>AVERAGE(Table4[Accumulated profit/loss])</f>
        <v>1425724.1379310344</v>
      </c>
      <c r="L6">
        <f>COUNT(Table4[Amount])</f>
        <v>29</v>
      </c>
      <c r="M6">
        <f>COUNTA(Table4[Company Name])</f>
        <v>29</v>
      </c>
      <c r="N6">
        <f>COUNTIF(Table4[],"Tom")</f>
        <v>5</v>
      </c>
      <c r="O6" s="33">
        <f>MIN(Table4[Accumulated profit/loss])</f>
        <v>-3000000</v>
      </c>
      <c r="P6" s="33">
        <f>MAX(Table4[Accumulated profit/loss])</f>
        <v>12475000</v>
      </c>
      <c r="Q6" s="33">
        <f>MODE(Table4[Accumulated profit/loss])</f>
        <v>780000</v>
      </c>
    </row>
    <row r="7" spans="1:17" ht="19.5">
      <c r="A7" s="34" t="s">
        <v>36</v>
      </c>
      <c r="B7" s="37" t="s">
        <v>64</v>
      </c>
      <c r="C7" s="38" t="s">
        <v>85</v>
      </c>
      <c r="D7" s="45">
        <v>2500</v>
      </c>
      <c r="E7" s="42">
        <v>7700000</v>
      </c>
      <c r="F7" s="43">
        <v>800000</v>
      </c>
      <c r="G7" s="44">
        <v>3200000</v>
      </c>
    </row>
    <row r="8" spans="1:17" ht="19.5">
      <c r="A8" s="34" t="s">
        <v>37</v>
      </c>
      <c r="B8" s="37" t="s">
        <v>66</v>
      </c>
      <c r="C8" s="38" t="s">
        <v>86</v>
      </c>
      <c r="D8" s="45">
        <v>5000</v>
      </c>
      <c r="E8" s="42">
        <v>6000000</v>
      </c>
      <c r="F8" s="43">
        <v>-125000</v>
      </c>
      <c r="G8" s="44">
        <v>-600000</v>
      </c>
      <c r="I8" s="69" t="s">
        <v>112</v>
      </c>
      <c r="J8" s="70"/>
      <c r="K8" s="70"/>
      <c r="L8" s="70"/>
      <c r="M8" s="70"/>
      <c r="N8" s="70"/>
    </row>
    <row r="9" spans="1:17" ht="75.75">
      <c r="A9" s="34" t="s">
        <v>38</v>
      </c>
      <c r="B9" s="37" t="s">
        <v>65</v>
      </c>
      <c r="C9" s="38" t="s">
        <v>84</v>
      </c>
      <c r="D9" s="45">
        <v>3000</v>
      </c>
      <c r="E9" s="42">
        <v>5000000</v>
      </c>
      <c r="F9" s="43">
        <v>210000</v>
      </c>
      <c r="G9" s="44">
        <v>-300000</v>
      </c>
      <c r="I9" s="47" t="s">
        <v>0</v>
      </c>
      <c r="J9" t="s">
        <v>28</v>
      </c>
      <c r="K9" t="s">
        <v>98</v>
      </c>
      <c r="L9" t="s">
        <v>113</v>
      </c>
      <c r="M9" s="48" t="s">
        <v>29</v>
      </c>
    </row>
    <row r="10" spans="1:17" ht="50.25">
      <c r="A10" s="34" t="s">
        <v>39</v>
      </c>
      <c r="B10" s="37" t="s">
        <v>66</v>
      </c>
      <c r="C10" s="38" t="s">
        <v>87</v>
      </c>
      <c r="D10" s="45">
        <v>6000</v>
      </c>
      <c r="E10" s="42">
        <v>1400000</v>
      </c>
      <c r="F10" s="43">
        <v>80000</v>
      </c>
      <c r="G10" s="44">
        <v>-130000</v>
      </c>
      <c r="I10" s="47" t="s">
        <v>66</v>
      </c>
      <c r="J10" s="33">
        <f>SUMIF(Table4[Employer name],I10,Table4[Amount])</f>
        <v>41250</v>
      </c>
      <c r="K10" s="33">
        <f>SUMIF(Table4[Employer name],I10,Table4[Sales turnover])</f>
        <v>33700000</v>
      </c>
      <c r="L10" s="33">
        <f>SUMIF(Table4[Employer name],I10,Table4[Net profit/loss])</f>
        <v>2470000</v>
      </c>
      <c r="M10" s="50">
        <f>SUMIF(Table4[Employer name],I10,Table4[Accumulated profit/loss])</f>
        <v>12825000</v>
      </c>
    </row>
    <row r="11" spans="1:17" ht="50.25">
      <c r="A11" s="34" t="s">
        <v>40</v>
      </c>
      <c r="B11" s="37" t="s">
        <v>75</v>
      </c>
      <c r="C11" s="38" t="s">
        <v>82</v>
      </c>
      <c r="D11" s="45">
        <v>40000</v>
      </c>
      <c r="E11" s="42">
        <v>8000000</v>
      </c>
      <c r="F11" s="43">
        <v>1000000</v>
      </c>
      <c r="G11" s="44">
        <v>1745000</v>
      </c>
      <c r="I11" s="48" t="s">
        <v>68</v>
      </c>
      <c r="J11" s="33">
        <f>SUMIF(Table4[Employer name],I11,Table4[Amount])</f>
        <v>55000</v>
      </c>
      <c r="K11" s="49">
        <f>SUMIF(Table4[Employer name],I11,Table4[Sales turnover])</f>
        <v>10953143</v>
      </c>
      <c r="L11" s="33">
        <f>SUMIF(Table4[Employer name],I11,Table4[Net profit/loss])</f>
        <v>-145488</v>
      </c>
      <c r="M11" s="33">
        <f>SUMIF(Table4[Employer name],I11,Table4[Accumulated profit/loss])</f>
        <v>-3546000</v>
      </c>
    </row>
    <row r="12" spans="1:17" ht="46.5">
      <c r="A12" s="34" t="s">
        <v>41</v>
      </c>
      <c r="B12" s="37" t="s">
        <v>67</v>
      </c>
      <c r="C12" s="38" t="s">
        <v>85</v>
      </c>
      <c r="D12" s="45">
        <v>2500</v>
      </c>
      <c r="E12" s="42">
        <v>5000000</v>
      </c>
      <c r="F12" s="43">
        <v>80000</v>
      </c>
      <c r="G12" s="44">
        <v>780000</v>
      </c>
      <c r="I12" s="47" t="s">
        <v>75</v>
      </c>
      <c r="J12" s="33">
        <f>SUMIF(Table4[Employer name],I12,Table4[Amount])</f>
        <v>77000</v>
      </c>
      <c r="K12" s="33">
        <f>SUMIF(Table4[Employer name],I12,Table4[Sales turnover])</f>
        <v>25656731</v>
      </c>
      <c r="L12" s="50">
        <f>SUMIF(Table4[Employer name],I12,Table4[Net profit/loss])</f>
        <v>3500000</v>
      </c>
      <c r="M12" s="50">
        <f>SUMIF(Table4[Employer name],I12,Table4[Accumulated profit/loss])</f>
        <v>7845000</v>
      </c>
    </row>
    <row r="13" spans="1:17" ht="19.5">
      <c r="A13" s="34" t="s">
        <v>42</v>
      </c>
      <c r="B13" s="37" t="s">
        <v>66</v>
      </c>
      <c r="C13" s="38" t="s">
        <v>88</v>
      </c>
      <c r="D13" s="45">
        <v>22000</v>
      </c>
      <c r="E13" s="42">
        <v>25600000</v>
      </c>
      <c r="F13" s="43">
        <v>2500000</v>
      </c>
      <c r="G13" s="44">
        <v>12475000</v>
      </c>
    </row>
    <row r="14" spans="1:17" ht="19.5">
      <c r="A14" s="34" t="s">
        <v>43</v>
      </c>
      <c r="B14" s="37" t="s">
        <v>68</v>
      </c>
      <c r="C14" s="38" t="s">
        <v>89</v>
      </c>
      <c r="D14" s="45">
        <v>25000</v>
      </c>
      <c r="E14" s="42">
        <v>5000000</v>
      </c>
      <c r="F14" s="43">
        <v>-80000</v>
      </c>
      <c r="G14" s="44">
        <v>-3000000</v>
      </c>
    </row>
    <row r="15" spans="1:17" ht="19.5">
      <c r="A15" s="34" t="s">
        <v>44</v>
      </c>
      <c r="B15" s="37" t="s">
        <v>69</v>
      </c>
      <c r="C15" s="38" t="s">
        <v>90</v>
      </c>
      <c r="D15" s="45">
        <v>5800</v>
      </c>
      <c r="E15" s="42">
        <v>2500000</v>
      </c>
      <c r="F15" s="43">
        <v>80000</v>
      </c>
      <c r="G15" s="44">
        <v>3300000</v>
      </c>
    </row>
    <row r="16" spans="1:17" ht="19.5">
      <c r="A16" s="34" t="s">
        <v>45</v>
      </c>
      <c r="B16" s="37" t="s">
        <v>70</v>
      </c>
      <c r="C16" s="38" t="s">
        <v>88</v>
      </c>
      <c r="D16" s="45">
        <v>30000</v>
      </c>
      <c r="E16" s="42">
        <v>1784512</v>
      </c>
      <c r="F16" s="43">
        <v>100000</v>
      </c>
      <c r="G16" s="44">
        <v>-900000</v>
      </c>
    </row>
    <row r="17" spans="1:11" ht="19.5">
      <c r="A17" s="34" t="s">
        <v>46</v>
      </c>
      <c r="B17" s="37" t="s">
        <v>71</v>
      </c>
      <c r="C17" s="38" t="s">
        <v>83</v>
      </c>
      <c r="D17" s="45">
        <v>1100</v>
      </c>
      <c r="E17" s="42">
        <v>1800000</v>
      </c>
      <c r="F17" s="43">
        <v>50000</v>
      </c>
      <c r="G17" s="44">
        <v>-520000</v>
      </c>
      <c r="K17" s="33"/>
    </row>
    <row r="18" spans="1:11" ht="19.5">
      <c r="A18" s="34" t="s">
        <v>47</v>
      </c>
      <c r="B18" s="37" t="s">
        <v>72</v>
      </c>
      <c r="C18" s="38" t="s">
        <v>91</v>
      </c>
      <c r="D18" s="45">
        <v>500</v>
      </c>
      <c r="E18" s="42">
        <v>1500000</v>
      </c>
      <c r="F18" s="43">
        <v>80000</v>
      </c>
      <c r="G18" s="44">
        <v>-45000</v>
      </c>
      <c r="K18" s="33"/>
    </row>
    <row r="19" spans="1:11" ht="19.5">
      <c r="A19" s="34" t="s">
        <v>48</v>
      </c>
      <c r="B19" s="37" t="s">
        <v>66</v>
      </c>
      <c r="C19" s="38" t="s">
        <v>92</v>
      </c>
      <c r="D19" s="45">
        <v>250</v>
      </c>
      <c r="E19" s="42">
        <v>100000</v>
      </c>
      <c r="F19" s="43">
        <v>-45000</v>
      </c>
      <c r="G19" s="44">
        <v>780000</v>
      </c>
      <c r="K19" s="33"/>
    </row>
    <row r="20" spans="1:11" ht="19.5">
      <c r="A20" s="34" t="s">
        <v>49</v>
      </c>
      <c r="B20" s="37" t="s">
        <v>73</v>
      </c>
      <c r="C20" s="38" t="s">
        <v>93</v>
      </c>
      <c r="D20" s="45">
        <v>14521</v>
      </c>
      <c r="E20" s="42">
        <v>250000</v>
      </c>
      <c r="F20" s="43">
        <v>-30000</v>
      </c>
      <c r="G20" s="44">
        <v>50000</v>
      </c>
      <c r="K20" s="33"/>
    </row>
    <row r="21" spans="1:11" ht="19.5">
      <c r="A21" s="34" t="s">
        <v>50</v>
      </c>
      <c r="B21" s="37" t="s">
        <v>66</v>
      </c>
      <c r="C21" s="38" t="s">
        <v>86</v>
      </c>
      <c r="D21" s="45">
        <v>8000</v>
      </c>
      <c r="E21" s="42">
        <v>600000</v>
      </c>
      <c r="F21" s="43">
        <v>60000</v>
      </c>
      <c r="G21" s="44">
        <v>300000</v>
      </c>
      <c r="K21" s="33"/>
    </row>
    <row r="22" spans="1:11" ht="19.5">
      <c r="A22" s="34" t="s">
        <v>51</v>
      </c>
      <c r="B22" s="37" t="s">
        <v>74</v>
      </c>
      <c r="C22" s="38" t="s">
        <v>81</v>
      </c>
      <c r="D22" s="45">
        <v>28000</v>
      </c>
      <c r="E22" s="42">
        <v>45744157</v>
      </c>
      <c r="F22" s="43">
        <v>18500000</v>
      </c>
      <c r="G22" s="44">
        <v>2500000</v>
      </c>
    </row>
    <row r="23" spans="1:11" ht="19.5">
      <c r="A23" s="34" t="s">
        <v>52</v>
      </c>
      <c r="B23" s="37" t="s">
        <v>75</v>
      </c>
      <c r="C23" s="38" t="s">
        <v>89</v>
      </c>
      <c r="D23" s="45">
        <v>22000</v>
      </c>
      <c r="E23" s="42">
        <v>4156731</v>
      </c>
      <c r="F23" s="43">
        <v>700000</v>
      </c>
      <c r="G23" s="44">
        <v>1600000</v>
      </c>
    </row>
    <row r="24" spans="1:11" ht="19.5">
      <c r="A24" s="34" t="s">
        <v>53</v>
      </c>
      <c r="B24" s="37" t="s">
        <v>76</v>
      </c>
      <c r="C24" s="38" t="s">
        <v>93</v>
      </c>
      <c r="D24" s="45">
        <v>10000</v>
      </c>
      <c r="E24" s="42">
        <v>3541561</v>
      </c>
      <c r="F24" s="43">
        <v>541642</v>
      </c>
      <c r="G24" s="44">
        <v>4780000</v>
      </c>
    </row>
    <row r="25" spans="1:11" ht="19.5">
      <c r="A25" s="34" t="s">
        <v>54</v>
      </c>
      <c r="B25" s="37" t="s">
        <v>77</v>
      </c>
      <c r="C25" s="38" t="s">
        <v>82</v>
      </c>
      <c r="D25" s="45">
        <v>45000</v>
      </c>
      <c r="E25" s="42">
        <v>74126431</v>
      </c>
      <c r="F25" s="43">
        <v>35000000</v>
      </c>
      <c r="G25" s="44">
        <v>6000000</v>
      </c>
    </row>
    <row r="26" spans="1:11" ht="19.5">
      <c r="A26" s="34" t="s">
        <v>55</v>
      </c>
      <c r="B26" s="37" t="s">
        <v>68</v>
      </c>
      <c r="C26" s="38" t="s">
        <v>94</v>
      </c>
      <c r="D26" s="45">
        <v>12000</v>
      </c>
      <c r="E26" s="42">
        <v>4500000</v>
      </c>
      <c r="F26" s="43">
        <v>124512</v>
      </c>
      <c r="G26" s="44">
        <v>-556000</v>
      </c>
    </row>
    <row r="27" spans="1:11" ht="19.5">
      <c r="A27" s="34" t="s">
        <v>56</v>
      </c>
      <c r="B27" s="37" t="s">
        <v>78</v>
      </c>
      <c r="C27" s="38" t="s">
        <v>95</v>
      </c>
      <c r="D27" s="45">
        <v>4500</v>
      </c>
      <c r="E27" s="42">
        <v>3000000</v>
      </c>
      <c r="F27" s="43">
        <v>-12000</v>
      </c>
      <c r="G27" s="44">
        <v>-88000</v>
      </c>
    </row>
    <row r="28" spans="1:11" ht="19.5">
      <c r="A28" s="34" t="s">
        <v>57</v>
      </c>
      <c r="B28" s="37" t="s">
        <v>79</v>
      </c>
      <c r="C28" s="38" t="s">
        <v>96</v>
      </c>
      <c r="D28" s="45">
        <v>4000</v>
      </c>
      <c r="E28" s="42">
        <v>1254000</v>
      </c>
      <c r="F28" s="43">
        <v>-150000</v>
      </c>
      <c r="G28" s="44">
        <v>-700000</v>
      </c>
    </row>
    <row r="29" spans="1:11" ht="19.5">
      <c r="A29" s="34" t="s">
        <v>58</v>
      </c>
      <c r="B29" s="37" t="s">
        <v>68</v>
      </c>
      <c r="C29" s="38" t="s">
        <v>88</v>
      </c>
      <c r="D29" s="45">
        <v>18000</v>
      </c>
      <c r="E29" s="42">
        <v>1453143</v>
      </c>
      <c r="F29" s="43">
        <v>-190000</v>
      </c>
      <c r="G29" s="44">
        <v>10000</v>
      </c>
    </row>
    <row r="30" spans="1:11" ht="19.5">
      <c r="A30" s="34" t="s">
        <v>59</v>
      </c>
      <c r="B30" s="37" t="s">
        <v>80</v>
      </c>
      <c r="C30" s="38" t="s">
        <v>95</v>
      </c>
      <c r="D30" s="45">
        <v>4500</v>
      </c>
      <c r="E30" s="42">
        <v>461324</v>
      </c>
      <c r="F30" s="43">
        <v>20000</v>
      </c>
      <c r="G30" s="44">
        <v>-15000</v>
      </c>
    </row>
    <row r="33" spans="4:5" ht="60.75">
      <c r="D33" s="53" t="s">
        <v>114</v>
      </c>
      <c r="E33" s="54" t="s">
        <v>115</v>
      </c>
    </row>
    <row r="34" spans="4:5" ht="16.5">
      <c r="D34" s="57" t="s">
        <v>34</v>
      </c>
      <c r="E34" s="51">
        <f>VLOOKUP(D34,Table4[],5,FALSE)</f>
        <v>1350000</v>
      </c>
    </row>
    <row r="35" spans="4:5" ht="40.5">
      <c r="D35" s="58" t="s">
        <v>53</v>
      </c>
      <c r="E35" s="55">
        <f>VLOOKUP(D35,Table4[],5,FALSE)</f>
        <v>3541561</v>
      </c>
    </row>
    <row r="36" spans="4:5" ht="46.5">
      <c r="D36" s="59" t="s">
        <v>56</v>
      </c>
      <c r="E36" s="52">
        <f>VLOOKUP(D36,Table4[],5,FALSE)</f>
        <v>3000000</v>
      </c>
    </row>
    <row r="37" spans="4:5" ht="40.5">
      <c r="D37" s="60" t="s">
        <v>44</v>
      </c>
      <c r="E37" s="56">
        <f>VLOOKUP(D37,Table4[],5,FALSE)</f>
        <v>2500000</v>
      </c>
    </row>
    <row r="38" spans="4:5" ht="36.75">
      <c r="D38" s="58" t="s">
        <v>48</v>
      </c>
      <c r="E38" s="52">
        <f>VLOOKUP(D38,Table4[],5,FALSE)</f>
        <v>100000</v>
      </c>
    </row>
  </sheetData>
  <mergeCells count="2">
    <mergeCell ref="I1:M1"/>
    <mergeCell ref="I8:N8"/>
  </mergeCells>
  <conditionalFormatting sqref="C2:C30">
    <cfRule type="duplicateValues" dxfId="53" priority="5"/>
    <cfRule type="colorScale" priority="6">
      <colorScale>
        <cfvo type="min"/>
        <cfvo type="max"/>
        <color rgb="FFF8696B"/>
        <color rgb="FFFCFCFF"/>
      </colorScale>
    </cfRule>
    <cfRule type="containsText" dxfId="52" priority="7" operator="containsText" text="Refrigerator">
      <formula>NOT(ISERROR(SEARCH("Refrigerator",C2)))</formula>
    </cfRule>
  </conditionalFormatting>
  <conditionalFormatting sqref="B2:B30">
    <cfRule type="uniqueValues" dxfId="51" priority="4"/>
  </conditionalFormatting>
  <conditionalFormatting sqref="F2:F30">
    <cfRule type="top10" dxfId="50" priority="1" bottom="1" rank="10"/>
  </conditionalFormatting>
  <pageMargins left="0.7" right="0.7" top="0.75" bottom="0.75" header="0.3" footer="0.3"/>
  <pageSetup orientation="portrait" horizontalDpi="90" verticalDpi="90" r:id="rId1"/>
  <legacy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FA09-5D00-4BFA-84FA-61F3D55CBE29}">
  <sheetPr codeName="Sheet4"/>
  <dimension ref="A1:F19"/>
  <sheetViews>
    <sheetView tabSelected="1" workbookViewId="0">
      <selection activeCell="K5" sqref="K5"/>
    </sheetView>
  </sheetViews>
  <sheetFormatPr defaultRowHeight="15"/>
  <cols>
    <col min="1" max="1" width="13.28515625" bestFit="1" customWidth="1"/>
    <col min="2" max="2" width="16.5703125" bestFit="1" customWidth="1"/>
    <col min="3" max="3" width="14.28515625" bestFit="1" customWidth="1"/>
    <col min="4" max="4" width="10" bestFit="1" customWidth="1"/>
    <col min="5" max="5" width="6.140625" bestFit="1" customWidth="1"/>
    <col min="6" max="6" width="6.5703125" bestFit="1" customWidth="1"/>
  </cols>
  <sheetData>
    <row r="1" spans="1:6" ht="18.75">
      <c r="A1" s="64" t="s">
        <v>117</v>
      </c>
      <c r="B1" s="64" t="s">
        <v>123</v>
      </c>
      <c r="C1" s="64" t="s">
        <v>124</v>
      </c>
      <c r="D1" s="64" t="s">
        <v>118</v>
      </c>
      <c r="E1" s="64" t="s">
        <v>119</v>
      </c>
      <c r="F1" s="64" t="s">
        <v>120</v>
      </c>
    </row>
    <row r="2" spans="1:6" ht="15.75">
      <c r="A2" s="65" t="s">
        <v>121</v>
      </c>
      <c r="B2" s="65" t="s">
        <v>126</v>
      </c>
      <c r="C2" s="65" t="s">
        <v>129</v>
      </c>
      <c r="D2" s="65">
        <v>330</v>
      </c>
      <c r="E2" s="65">
        <v>50</v>
      </c>
      <c r="F2" s="65">
        <f>D2*E2</f>
        <v>16500</v>
      </c>
    </row>
    <row r="3" spans="1:6" ht="15.75">
      <c r="A3" s="65" t="s">
        <v>125</v>
      </c>
      <c r="B3" s="65" t="s">
        <v>127</v>
      </c>
      <c r="C3" s="65" t="s">
        <v>130</v>
      </c>
      <c r="D3" s="65">
        <v>345</v>
      </c>
      <c r="E3" s="65">
        <v>60</v>
      </c>
      <c r="F3" s="65">
        <f t="shared" ref="F3:F19" si="0">D3*E3</f>
        <v>20700</v>
      </c>
    </row>
    <row r="4" spans="1:6" ht="15.75">
      <c r="A4" s="65" t="s">
        <v>122</v>
      </c>
      <c r="B4" s="65" t="s">
        <v>128</v>
      </c>
      <c r="C4" s="65" t="s">
        <v>131</v>
      </c>
      <c r="D4" s="65">
        <v>400</v>
      </c>
      <c r="E4" s="65">
        <v>70</v>
      </c>
      <c r="F4" s="65">
        <f t="shared" si="0"/>
        <v>28000</v>
      </c>
    </row>
    <row r="5" spans="1:6" ht="15.75">
      <c r="A5" s="65" t="s">
        <v>121</v>
      </c>
      <c r="B5" s="65" t="s">
        <v>126</v>
      </c>
      <c r="C5" s="65" t="s">
        <v>129</v>
      </c>
      <c r="D5" s="65">
        <v>330</v>
      </c>
      <c r="E5" s="65">
        <v>50</v>
      </c>
      <c r="F5" s="65">
        <f t="shared" si="0"/>
        <v>16500</v>
      </c>
    </row>
    <row r="6" spans="1:6" ht="15.75">
      <c r="A6" s="65" t="s">
        <v>125</v>
      </c>
      <c r="B6" s="65" t="s">
        <v>127</v>
      </c>
      <c r="C6" s="65" t="s">
        <v>130</v>
      </c>
      <c r="D6" s="65">
        <v>345</v>
      </c>
      <c r="E6" s="65">
        <v>60</v>
      </c>
      <c r="F6" s="65">
        <f t="shared" si="0"/>
        <v>20700</v>
      </c>
    </row>
    <row r="7" spans="1:6" ht="15.75">
      <c r="A7" s="65" t="s">
        <v>122</v>
      </c>
      <c r="B7" s="65" t="s">
        <v>128</v>
      </c>
      <c r="C7" s="65" t="s">
        <v>131</v>
      </c>
      <c r="D7" s="65">
        <v>400</v>
      </c>
      <c r="E7" s="65">
        <v>70</v>
      </c>
      <c r="F7" s="65">
        <f t="shared" si="0"/>
        <v>28000</v>
      </c>
    </row>
    <row r="8" spans="1:6" ht="15.75">
      <c r="A8" s="65" t="s">
        <v>121</v>
      </c>
      <c r="B8" s="65" t="s">
        <v>126</v>
      </c>
      <c r="C8" s="65" t="s">
        <v>129</v>
      </c>
      <c r="D8" s="65">
        <v>330</v>
      </c>
      <c r="E8" s="65">
        <v>50</v>
      </c>
      <c r="F8" s="65">
        <f t="shared" si="0"/>
        <v>16500</v>
      </c>
    </row>
    <row r="9" spans="1:6" ht="15.75">
      <c r="A9" s="65" t="s">
        <v>125</v>
      </c>
      <c r="B9" s="65" t="s">
        <v>127</v>
      </c>
      <c r="C9" s="65" t="s">
        <v>130</v>
      </c>
      <c r="D9" s="65">
        <v>345</v>
      </c>
      <c r="E9" s="65">
        <v>60</v>
      </c>
      <c r="F9" s="65">
        <f t="shared" si="0"/>
        <v>20700</v>
      </c>
    </row>
    <row r="10" spans="1:6" ht="15.75">
      <c r="A10" s="65" t="s">
        <v>122</v>
      </c>
      <c r="B10" s="65" t="s">
        <v>128</v>
      </c>
      <c r="C10" s="65" t="s">
        <v>131</v>
      </c>
      <c r="D10" s="65">
        <v>400</v>
      </c>
      <c r="E10" s="65">
        <v>70</v>
      </c>
      <c r="F10" s="65">
        <f t="shared" si="0"/>
        <v>28000</v>
      </c>
    </row>
    <row r="11" spans="1:6" ht="15.75">
      <c r="A11" s="65" t="s">
        <v>121</v>
      </c>
      <c r="B11" s="65" t="s">
        <v>126</v>
      </c>
      <c r="C11" s="65" t="s">
        <v>129</v>
      </c>
      <c r="D11" s="65">
        <v>330</v>
      </c>
      <c r="E11" s="65">
        <v>50</v>
      </c>
      <c r="F11" s="65">
        <f t="shared" si="0"/>
        <v>16500</v>
      </c>
    </row>
    <row r="12" spans="1:6" ht="15.75">
      <c r="A12" s="65" t="s">
        <v>125</v>
      </c>
      <c r="B12" s="65" t="s">
        <v>127</v>
      </c>
      <c r="C12" s="65" t="s">
        <v>130</v>
      </c>
      <c r="D12" s="65">
        <v>345</v>
      </c>
      <c r="E12" s="65">
        <v>60</v>
      </c>
      <c r="F12" s="65">
        <f t="shared" si="0"/>
        <v>20700</v>
      </c>
    </row>
    <row r="13" spans="1:6" ht="15.75">
      <c r="A13" s="65" t="s">
        <v>122</v>
      </c>
      <c r="B13" s="65" t="s">
        <v>128</v>
      </c>
      <c r="C13" s="65" t="s">
        <v>131</v>
      </c>
      <c r="D13" s="65">
        <v>400</v>
      </c>
      <c r="E13" s="65">
        <v>70</v>
      </c>
      <c r="F13" s="65">
        <f t="shared" si="0"/>
        <v>28000</v>
      </c>
    </row>
    <row r="14" spans="1:6" ht="15.75">
      <c r="A14" s="65" t="s">
        <v>121</v>
      </c>
      <c r="B14" s="65" t="s">
        <v>126</v>
      </c>
      <c r="C14" s="65" t="s">
        <v>129</v>
      </c>
      <c r="D14" s="65">
        <v>330</v>
      </c>
      <c r="E14" s="65">
        <v>50</v>
      </c>
      <c r="F14" s="65">
        <f t="shared" si="0"/>
        <v>16500</v>
      </c>
    </row>
    <row r="15" spans="1:6" ht="15.75">
      <c r="A15" s="65" t="s">
        <v>125</v>
      </c>
      <c r="B15" s="65" t="s">
        <v>127</v>
      </c>
      <c r="C15" s="65" t="s">
        <v>130</v>
      </c>
      <c r="D15" s="65">
        <v>345</v>
      </c>
      <c r="E15" s="65">
        <v>60</v>
      </c>
      <c r="F15" s="65">
        <f t="shared" si="0"/>
        <v>20700</v>
      </c>
    </row>
    <row r="16" spans="1:6" ht="15.75">
      <c r="A16" s="65" t="s">
        <v>122</v>
      </c>
      <c r="B16" s="65" t="s">
        <v>128</v>
      </c>
      <c r="C16" s="65" t="s">
        <v>131</v>
      </c>
      <c r="D16" s="65">
        <v>400</v>
      </c>
      <c r="E16" s="65">
        <v>70</v>
      </c>
      <c r="F16" s="65">
        <f t="shared" si="0"/>
        <v>28000</v>
      </c>
    </row>
    <row r="17" spans="1:6" ht="15.75">
      <c r="A17" s="65" t="s">
        <v>121</v>
      </c>
      <c r="B17" s="65" t="s">
        <v>126</v>
      </c>
      <c r="C17" s="65" t="s">
        <v>129</v>
      </c>
      <c r="D17" s="65">
        <v>330</v>
      </c>
      <c r="E17" s="65">
        <v>50</v>
      </c>
      <c r="F17" s="65">
        <f t="shared" si="0"/>
        <v>16500</v>
      </c>
    </row>
    <row r="18" spans="1:6" ht="15.75">
      <c r="A18" s="65" t="s">
        <v>125</v>
      </c>
      <c r="B18" s="65" t="s">
        <v>127</v>
      </c>
      <c r="C18" s="65" t="s">
        <v>130</v>
      </c>
      <c r="D18" s="65">
        <v>345</v>
      </c>
      <c r="E18" s="65">
        <v>60</v>
      </c>
      <c r="F18" s="65">
        <f t="shared" si="0"/>
        <v>20700</v>
      </c>
    </row>
    <row r="19" spans="1:6" ht="15.75">
      <c r="A19" s="65" t="s">
        <v>122</v>
      </c>
      <c r="B19" s="65" t="s">
        <v>128</v>
      </c>
      <c r="C19" s="65" t="s">
        <v>131</v>
      </c>
      <c r="D19" s="65">
        <v>400</v>
      </c>
      <c r="E19" s="65">
        <v>70</v>
      </c>
      <c r="F19" s="65">
        <f t="shared" si="0"/>
        <v>28000</v>
      </c>
    </row>
  </sheetData>
  <autoFilter ref="A1:F19" xr:uid="{5D10FA09-5D00-4BFA-84FA-61F3D55CBE29}"/>
  <conditionalFormatting sqref="C2:C19">
    <cfRule type="cellIs" dxfId="25" priority="2" operator="equal">
      <formula>"Sayuri"</formula>
    </cfRule>
  </conditionalFormatting>
  <conditionalFormatting sqref="F2:F19">
    <cfRule type="cellIs" dxfId="24" priority="1" operator="greaterThan">
      <formula>20700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A4ED8-FDC6-4C27-93FE-CE091E6F9FC8}">
  <sheetPr codeName="Sheet9"/>
  <dimension ref="A1:F19"/>
  <sheetViews>
    <sheetView workbookViewId="0">
      <selection activeCell="I8" sqref="I8"/>
    </sheetView>
  </sheetViews>
  <sheetFormatPr defaultRowHeight="15"/>
  <cols>
    <col min="1" max="1" width="15.5703125" bestFit="1" customWidth="1"/>
    <col min="2" max="2" width="18.7109375" bestFit="1" customWidth="1"/>
    <col min="3" max="3" width="16.42578125" bestFit="1" customWidth="1"/>
    <col min="4" max="4" width="12.28515625" bestFit="1" customWidth="1"/>
    <col min="5" max="5" width="8.28515625" bestFit="1" customWidth="1"/>
    <col min="6" max="6" width="8.42578125" bestFit="1" customWidth="1"/>
  </cols>
  <sheetData>
    <row r="1" spans="1:6" ht="18.75">
      <c r="A1" s="64" t="s">
        <v>117</v>
      </c>
      <c r="B1" s="64" t="s">
        <v>123</v>
      </c>
      <c r="C1" s="64" t="s">
        <v>124</v>
      </c>
      <c r="D1" s="64" t="s">
        <v>118</v>
      </c>
      <c r="E1" s="64" t="s">
        <v>119</v>
      </c>
      <c r="F1" s="64" t="s">
        <v>120</v>
      </c>
    </row>
    <row r="2" spans="1:6" ht="15.75">
      <c r="A2" s="66" t="s">
        <v>121</v>
      </c>
      <c r="B2" s="66" t="s">
        <v>126</v>
      </c>
      <c r="C2" s="66" t="s">
        <v>129</v>
      </c>
      <c r="D2" s="66">
        <v>330</v>
      </c>
      <c r="E2" s="66">
        <v>50</v>
      </c>
      <c r="F2" s="66">
        <f>D2*E2</f>
        <v>16500</v>
      </c>
    </row>
    <row r="3" spans="1:6" ht="15.75">
      <c r="A3" s="66" t="s">
        <v>125</v>
      </c>
      <c r="B3" s="66" t="s">
        <v>127</v>
      </c>
      <c r="C3" s="66" t="s">
        <v>130</v>
      </c>
      <c r="D3" s="66">
        <v>345</v>
      </c>
      <c r="E3" s="66">
        <v>60</v>
      </c>
      <c r="F3" s="66">
        <f t="shared" ref="F3:F19" si="0">D3*E3</f>
        <v>20700</v>
      </c>
    </row>
    <row r="4" spans="1:6" ht="15.75">
      <c r="A4" s="66" t="s">
        <v>122</v>
      </c>
      <c r="B4" s="66" t="s">
        <v>128</v>
      </c>
      <c r="C4" s="66" t="s">
        <v>131</v>
      </c>
      <c r="D4" s="66">
        <v>400</v>
      </c>
      <c r="E4" s="66">
        <v>70</v>
      </c>
      <c r="F4" s="66">
        <f t="shared" si="0"/>
        <v>28000</v>
      </c>
    </row>
    <row r="5" spans="1:6" ht="15.75">
      <c r="A5" s="66" t="s">
        <v>121</v>
      </c>
      <c r="B5" s="66" t="s">
        <v>126</v>
      </c>
      <c r="C5" s="66" t="s">
        <v>129</v>
      </c>
      <c r="D5" s="66">
        <v>330</v>
      </c>
      <c r="E5" s="66">
        <v>50</v>
      </c>
      <c r="F5" s="66">
        <f t="shared" si="0"/>
        <v>16500</v>
      </c>
    </row>
    <row r="6" spans="1:6" ht="15.75">
      <c r="A6" s="66" t="s">
        <v>125</v>
      </c>
      <c r="B6" s="66" t="s">
        <v>127</v>
      </c>
      <c r="C6" s="66" t="s">
        <v>130</v>
      </c>
      <c r="D6" s="66">
        <v>345</v>
      </c>
      <c r="E6" s="66">
        <v>60</v>
      </c>
      <c r="F6" s="66">
        <f t="shared" si="0"/>
        <v>20700</v>
      </c>
    </row>
    <row r="7" spans="1:6" ht="15.75">
      <c r="A7" s="66" t="s">
        <v>122</v>
      </c>
      <c r="B7" s="66" t="s">
        <v>128</v>
      </c>
      <c r="C7" s="66" t="s">
        <v>131</v>
      </c>
      <c r="D7" s="66">
        <v>400</v>
      </c>
      <c r="E7" s="66">
        <v>70</v>
      </c>
      <c r="F7" s="66">
        <f t="shared" si="0"/>
        <v>28000</v>
      </c>
    </row>
    <row r="8" spans="1:6" ht="15.75">
      <c r="A8" s="66" t="s">
        <v>121</v>
      </c>
      <c r="B8" s="66" t="s">
        <v>126</v>
      </c>
      <c r="C8" s="66" t="s">
        <v>129</v>
      </c>
      <c r="D8" s="66">
        <v>330</v>
      </c>
      <c r="E8" s="66">
        <v>50</v>
      </c>
      <c r="F8" s="66">
        <f t="shared" si="0"/>
        <v>16500</v>
      </c>
    </row>
    <row r="9" spans="1:6" ht="15.75">
      <c r="A9" s="66" t="s">
        <v>125</v>
      </c>
      <c r="B9" s="66" t="s">
        <v>127</v>
      </c>
      <c r="C9" s="66" t="s">
        <v>130</v>
      </c>
      <c r="D9" s="66">
        <v>345</v>
      </c>
      <c r="E9" s="66">
        <v>60</v>
      </c>
      <c r="F9" s="66">
        <f t="shared" si="0"/>
        <v>20700</v>
      </c>
    </row>
    <row r="10" spans="1:6" ht="15.75">
      <c r="A10" s="66" t="s">
        <v>122</v>
      </c>
      <c r="B10" s="66" t="s">
        <v>128</v>
      </c>
      <c r="C10" s="66" t="s">
        <v>131</v>
      </c>
      <c r="D10" s="66">
        <v>400</v>
      </c>
      <c r="E10" s="66">
        <v>70</v>
      </c>
      <c r="F10" s="66">
        <f t="shared" si="0"/>
        <v>28000</v>
      </c>
    </row>
    <row r="11" spans="1:6" ht="15.75">
      <c r="A11" s="66" t="s">
        <v>121</v>
      </c>
      <c r="B11" s="66" t="s">
        <v>126</v>
      </c>
      <c r="C11" s="66" t="s">
        <v>129</v>
      </c>
      <c r="D11" s="66">
        <v>330</v>
      </c>
      <c r="E11" s="66">
        <v>50</v>
      </c>
      <c r="F11" s="66">
        <f t="shared" si="0"/>
        <v>16500</v>
      </c>
    </row>
    <row r="12" spans="1:6" ht="15.75">
      <c r="A12" s="66" t="s">
        <v>125</v>
      </c>
      <c r="B12" s="66" t="s">
        <v>127</v>
      </c>
      <c r="C12" s="66" t="s">
        <v>130</v>
      </c>
      <c r="D12" s="66">
        <v>345</v>
      </c>
      <c r="E12" s="66">
        <v>60</v>
      </c>
      <c r="F12" s="66">
        <f t="shared" si="0"/>
        <v>20700</v>
      </c>
    </row>
    <row r="13" spans="1:6" ht="15.75">
      <c r="A13" s="66" t="s">
        <v>122</v>
      </c>
      <c r="B13" s="66" t="s">
        <v>128</v>
      </c>
      <c r="C13" s="66" t="s">
        <v>131</v>
      </c>
      <c r="D13" s="66">
        <v>400</v>
      </c>
      <c r="E13" s="66">
        <v>70</v>
      </c>
      <c r="F13" s="66">
        <f t="shared" si="0"/>
        <v>28000</v>
      </c>
    </row>
    <row r="14" spans="1:6" ht="15.75">
      <c r="A14" s="66" t="s">
        <v>121</v>
      </c>
      <c r="B14" s="66" t="s">
        <v>126</v>
      </c>
      <c r="C14" s="66" t="s">
        <v>129</v>
      </c>
      <c r="D14" s="66">
        <v>330</v>
      </c>
      <c r="E14" s="66">
        <v>50</v>
      </c>
      <c r="F14" s="66">
        <f t="shared" si="0"/>
        <v>16500</v>
      </c>
    </row>
    <row r="15" spans="1:6" ht="15.75">
      <c r="A15" s="66" t="s">
        <v>125</v>
      </c>
      <c r="B15" s="66" t="s">
        <v>127</v>
      </c>
      <c r="C15" s="66" t="s">
        <v>130</v>
      </c>
      <c r="D15" s="66">
        <v>345</v>
      </c>
      <c r="E15" s="66">
        <v>60</v>
      </c>
      <c r="F15" s="66">
        <f t="shared" si="0"/>
        <v>20700</v>
      </c>
    </row>
    <row r="16" spans="1:6" ht="15.75">
      <c r="A16" s="66" t="s">
        <v>122</v>
      </c>
      <c r="B16" s="66" t="s">
        <v>128</v>
      </c>
      <c r="C16" s="66" t="s">
        <v>131</v>
      </c>
      <c r="D16" s="66">
        <v>400</v>
      </c>
      <c r="E16" s="66">
        <v>70</v>
      </c>
      <c r="F16" s="66">
        <f t="shared" si="0"/>
        <v>28000</v>
      </c>
    </row>
    <row r="17" spans="1:6" ht="15.75">
      <c r="A17" s="66" t="s">
        <v>121</v>
      </c>
      <c r="B17" s="66" t="s">
        <v>126</v>
      </c>
      <c r="C17" s="66" t="s">
        <v>129</v>
      </c>
      <c r="D17" s="66">
        <v>330</v>
      </c>
      <c r="E17" s="66">
        <v>50</v>
      </c>
      <c r="F17" s="66">
        <f t="shared" si="0"/>
        <v>16500</v>
      </c>
    </row>
    <row r="18" spans="1:6" ht="15.75">
      <c r="A18" s="66" t="s">
        <v>125</v>
      </c>
      <c r="B18" s="66" t="s">
        <v>127</v>
      </c>
      <c r="C18" s="66" t="s">
        <v>130</v>
      </c>
      <c r="D18" s="66">
        <v>345</v>
      </c>
      <c r="E18" s="66">
        <v>60</v>
      </c>
      <c r="F18" s="66">
        <f t="shared" si="0"/>
        <v>20700</v>
      </c>
    </row>
    <row r="19" spans="1:6" ht="15.75">
      <c r="A19" s="66" t="s">
        <v>122</v>
      </c>
      <c r="B19" s="66" t="s">
        <v>128</v>
      </c>
      <c r="C19" s="66" t="s">
        <v>131</v>
      </c>
      <c r="D19" s="66">
        <v>400</v>
      </c>
      <c r="E19" s="66">
        <v>70</v>
      </c>
      <c r="F19" s="66">
        <f t="shared" si="0"/>
        <v>28000</v>
      </c>
    </row>
  </sheetData>
  <autoFilter ref="A1:F19" xr:uid="{08EA4ED8-FDC6-4C27-93FE-CE091E6F9FC8}"/>
  <conditionalFormatting sqref="C2:C19">
    <cfRule type="cellIs" dxfId="23" priority="4" operator="equal">
      <formula>"Sayuri"</formula>
    </cfRule>
    <cfRule type="cellIs" dxfId="22" priority="6" operator="equal">
      <formula>"Sayuri"</formula>
    </cfRule>
    <cfRule type="cellIs" dxfId="21" priority="8" operator="equal">
      <formula>"Sayuri"</formula>
    </cfRule>
    <cfRule type="cellIs" dxfId="20" priority="10" operator="equal">
      <formula>"Sayuri"</formula>
    </cfRule>
    <cfRule type="cellIs" dxfId="19" priority="12" operator="equal">
      <formula>"Sayuri"</formula>
    </cfRule>
    <cfRule type="cellIs" dxfId="18" priority="14" operator="equal">
      <formula>"Sayuri"</formula>
    </cfRule>
    <cfRule type="cellIs" dxfId="17" priority="16" operator="equal">
      <formula>"Sayuri"</formula>
    </cfRule>
    <cfRule type="cellIs" dxfId="16" priority="18" operator="equal">
      <formula>"Sayuri"</formula>
    </cfRule>
    <cfRule type="cellIs" dxfId="15" priority="20" operator="equal">
      <formula>"Sayuri"</formula>
    </cfRule>
    <cfRule type="cellIs" dxfId="14" priority="22" operator="equal">
      <formula>"Sayuri"</formula>
    </cfRule>
    <cfRule type="cellIs" dxfId="13" priority="2" operator="equal">
      <formula>"Sayuri"</formula>
    </cfRule>
  </conditionalFormatting>
  <conditionalFormatting sqref="F2:F19">
    <cfRule type="cellIs" dxfId="12" priority="3" operator="greaterThan">
      <formula>20700</formula>
    </cfRule>
    <cfRule type="cellIs" dxfId="11" priority="5" operator="greaterThan">
      <formula>20700</formula>
    </cfRule>
    <cfRule type="cellIs" dxfId="10" priority="7" operator="greaterThan">
      <formula>20700</formula>
    </cfRule>
    <cfRule type="cellIs" dxfId="9" priority="9" operator="greaterThan">
      <formula>20700</formula>
    </cfRule>
    <cfRule type="cellIs" dxfId="8" priority="11" operator="greaterThan">
      <formula>20700</formula>
    </cfRule>
    <cfRule type="cellIs" dxfId="7" priority="13" operator="greaterThan">
      <formula>20700</formula>
    </cfRule>
    <cfRule type="cellIs" dxfId="6" priority="15" operator="greaterThan">
      <formula>20700</formula>
    </cfRule>
    <cfRule type="cellIs" dxfId="5" priority="17" operator="greaterThan">
      <formula>20700</formula>
    </cfRule>
    <cfRule type="cellIs" dxfId="4" priority="19" operator="greaterThan">
      <formula>20700</formula>
    </cfRule>
    <cfRule type="cellIs" dxfId="3" priority="21" operator="greaterThan">
      <formula>20700</formula>
    </cfRule>
    <cfRule type="cellIs" dxfId="2" priority="1" operator="greaterThan">
      <formula>20700</formula>
    </cfRule>
  </conditionalFormatting>
  <pageMargins left="0.7" right="0.7" top="0.75" bottom="0.75" header="0.3" footer="0.3"/>
  <pageSetup orientation="portrait" horizontalDpi="90" verticalDpi="9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ED6E-1B02-4CBE-880B-F876835A6A1B}">
  <sheetPr codeName="Sheet10"/>
  <dimension ref="A1:F19"/>
  <sheetViews>
    <sheetView workbookViewId="0">
      <selection activeCell="I8" sqref="I8"/>
    </sheetView>
  </sheetViews>
  <sheetFormatPr defaultRowHeight="15"/>
  <cols>
    <col min="1" max="1" width="14.28515625" bestFit="1" customWidth="1"/>
    <col min="2" max="2" width="17.85546875" bestFit="1" customWidth="1"/>
    <col min="3" max="3" width="15.42578125" bestFit="1" customWidth="1"/>
    <col min="4" max="4" width="10.85546875" bestFit="1" customWidth="1"/>
    <col min="5" max="6" width="6.7109375" bestFit="1" customWidth="1"/>
  </cols>
  <sheetData>
    <row r="1" spans="1:6" ht="18.75">
      <c r="A1" s="64" t="s">
        <v>117</v>
      </c>
      <c r="B1" s="64" t="s">
        <v>123</v>
      </c>
      <c r="C1" s="64" t="s">
        <v>124</v>
      </c>
      <c r="D1" s="64" t="s">
        <v>118</v>
      </c>
      <c r="E1" s="64" t="s">
        <v>119</v>
      </c>
      <c r="F1" s="64" t="s">
        <v>120</v>
      </c>
    </row>
    <row r="2" spans="1:6" ht="15.75">
      <c r="A2" s="66" t="s">
        <v>121</v>
      </c>
      <c r="B2" s="66" t="s">
        <v>126</v>
      </c>
      <c r="C2" s="66" t="s">
        <v>129</v>
      </c>
      <c r="D2" s="66">
        <v>330</v>
      </c>
      <c r="E2" s="66">
        <v>50</v>
      </c>
      <c r="F2" s="66">
        <f>D2*E2</f>
        <v>16500</v>
      </c>
    </row>
    <row r="3" spans="1:6" ht="15.75">
      <c r="A3" s="66" t="s">
        <v>125</v>
      </c>
      <c r="B3" s="66" t="s">
        <v>127</v>
      </c>
      <c r="C3" s="66" t="s">
        <v>130</v>
      </c>
      <c r="D3" s="66">
        <v>345</v>
      </c>
      <c r="E3" s="66">
        <v>60</v>
      </c>
      <c r="F3" s="66">
        <f t="shared" ref="F3:F19" si="0">D3*E3</f>
        <v>20700</v>
      </c>
    </row>
    <row r="4" spans="1:6" ht="15.75">
      <c r="A4" s="66" t="s">
        <v>122</v>
      </c>
      <c r="B4" s="66" t="s">
        <v>128</v>
      </c>
      <c r="C4" s="66" t="s">
        <v>131</v>
      </c>
      <c r="D4" s="66">
        <v>400</v>
      </c>
      <c r="E4" s="66">
        <v>70</v>
      </c>
      <c r="F4" s="66">
        <f t="shared" si="0"/>
        <v>28000</v>
      </c>
    </row>
    <row r="5" spans="1:6" ht="15.75">
      <c r="A5" s="66" t="s">
        <v>121</v>
      </c>
      <c r="B5" s="66" t="s">
        <v>126</v>
      </c>
      <c r="C5" s="66" t="s">
        <v>129</v>
      </c>
      <c r="D5" s="66">
        <v>330</v>
      </c>
      <c r="E5" s="66">
        <v>50</v>
      </c>
      <c r="F5" s="66">
        <f t="shared" si="0"/>
        <v>16500</v>
      </c>
    </row>
    <row r="6" spans="1:6" ht="15.75">
      <c r="A6" s="66" t="s">
        <v>125</v>
      </c>
      <c r="B6" s="66" t="s">
        <v>127</v>
      </c>
      <c r="C6" s="66" t="s">
        <v>130</v>
      </c>
      <c r="D6" s="66">
        <v>345</v>
      </c>
      <c r="E6" s="66">
        <v>60</v>
      </c>
      <c r="F6" s="66">
        <f t="shared" si="0"/>
        <v>20700</v>
      </c>
    </row>
    <row r="7" spans="1:6" ht="15.75">
      <c r="A7" s="66" t="s">
        <v>122</v>
      </c>
      <c r="B7" s="66" t="s">
        <v>128</v>
      </c>
      <c r="C7" s="66" t="s">
        <v>131</v>
      </c>
      <c r="D7" s="66">
        <v>400</v>
      </c>
      <c r="E7" s="66">
        <v>70</v>
      </c>
      <c r="F7" s="66">
        <f t="shared" si="0"/>
        <v>28000</v>
      </c>
    </row>
    <row r="8" spans="1:6" ht="15.75">
      <c r="A8" s="66" t="s">
        <v>121</v>
      </c>
      <c r="B8" s="66" t="s">
        <v>126</v>
      </c>
      <c r="C8" s="66" t="s">
        <v>129</v>
      </c>
      <c r="D8" s="66">
        <v>330</v>
      </c>
      <c r="E8" s="66">
        <v>50</v>
      </c>
      <c r="F8" s="66">
        <f t="shared" si="0"/>
        <v>16500</v>
      </c>
    </row>
    <row r="9" spans="1:6" ht="15.75">
      <c r="A9" s="66" t="s">
        <v>125</v>
      </c>
      <c r="B9" s="66" t="s">
        <v>127</v>
      </c>
      <c r="C9" s="66" t="s">
        <v>130</v>
      </c>
      <c r="D9" s="66">
        <v>345</v>
      </c>
      <c r="E9" s="66">
        <v>60</v>
      </c>
      <c r="F9" s="66">
        <f t="shared" si="0"/>
        <v>20700</v>
      </c>
    </row>
    <row r="10" spans="1:6" ht="15.75">
      <c r="A10" s="66" t="s">
        <v>122</v>
      </c>
      <c r="B10" s="66" t="s">
        <v>128</v>
      </c>
      <c r="C10" s="66" t="s">
        <v>131</v>
      </c>
      <c r="D10" s="66">
        <v>400</v>
      </c>
      <c r="E10" s="66">
        <v>70</v>
      </c>
      <c r="F10" s="66">
        <f t="shared" si="0"/>
        <v>28000</v>
      </c>
    </row>
    <row r="11" spans="1:6" ht="15.75">
      <c r="A11" s="66" t="s">
        <v>121</v>
      </c>
      <c r="B11" s="66" t="s">
        <v>126</v>
      </c>
      <c r="C11" s="66" t="s">
        <v>129</v>
      </c>
      <c r="D11" s="66">
        <v>330</v>
      </c>
      <c r="E11" s="66">
        <v>50</v>
      </c>
      <c r="F11" s="66">
        <f t="shared" si="0"/>
        <v>16500</v>
      </c>
    </row>
    <row r="12" spans="1:6" ht="15.75">
      <c r="A12" s="66" t="s">
        <v>125</v>
      </c>
      <c r="B12" s="66" t="s">
        <v>127</v>
      </c>
      <c r="C12" s="66" t="s">
        <v>130</v>
      </c>
      <c r="D12" s="66">
        <v>345</v>
      </c>
      <c r="E12" s="66">
        <v>60</v>
      </c>
      <c r="F12" s="66">
        <f t="shared" si="0"/>
        <v>20700</v>
      </c>
    </row>
    <row r="13" spans="1:6" ht="15.75">
      <c r="A13" s="66" t="s">
        <v>122</v>
      </c>
      <c r="B13" s="66" t="s">
        <v>128</v>
      </c>
      <c r="C13" s="66" t="s">
        <v>131</v>
      </c>
      <c r="D13" s="66">
        <v>400</v>
      </c>
      <c r="E13" s="66">
        <v>70</v>
      </c>
      <c r="F13" s="66">
        <f t="shared" si="0"/>
        <v>28000</v>
      </c>
    </row>
    <row r="14" spans="1:6" ht="15.75">
      <c r="A14" s="66" t="s">
        <v>121</v>
      </c>
      <c r="B14" s="66" t="s">
        <v>126</v>
      </c>
      <c r="C14" s="66" t="s">
        <v>129</v>
      </c>
      <c r="D14" s="66">
        <v>330</v>
      </c>
      <c r="E14" s="66">
        <v>50</v>
      </c>
      <c r="F14" s="66">
        <f t="shared" si="0"/>
        <v>16500</v>
      </c>
    </row>
    <row r="15" spans="1:6" ht="15.75">
      <c r="A15" s="66" t="s">
        <v>125</v>
      </c>
      <c r="B15" s="66" t="s">
        <v>127</v>
      </c>
      <c r="C15" s="66" t="s">
        <v>130</v>
      </c>
      <c r="D15" s="66">
        <v>345</v>
      </c>
      <c r="E15" s="66">
        <v>60</v>
      </c>
      <c r="F15" s="66">
        <f t="shared" si="0"/>
        <v>20700</v>
      </c>
    </row>
    <row r="16" spans="1:6" ht="15.75">
      <c r="A16" s="66" t="s">
        <v>122</v>
      </c>
      <c r="B16" s="66" t="s">
        <v>128</v>
      </c>
      <c r="C16" s="66" t="s">
        <v>131</v>
      </c>
      <c r="D16" s="66">
        <v>400</v>
      </c>
      <c r="E16" s="66">
        <v>70</v>
      </c>
      <c r="F16" s="66">
        <f t="shared" si="0"/>
        <v>28000</v>
      </c>
    </row>
    <row r="17" spans="1:6" ht="15.75">
      <c r="A17" s="66" t="s">
        <v>121</v>
      </c>
      <c r="B17" s="66" t="s">
        <v>126</v>
      </c>
      <c r="C17" s="66" t="s">
        <v>129</v>
      </c>
      <c r="D17" s="66">
        <v>330</v>
      </c>
      <c r="E17" s="66">
        <v>50</v>
      </c>
      <c r="F17" s="66">
        <f t="shared" si="0"/>
        <v>16500</v>
      </c>
    </row>
    <row r="18" spans="1:6" ht="15.75">
      <c r="A18" s="66" t="s">
        <v>125</v>
      </c>
      <c r="B18" s="66" t="s">
        <v>127</v>
      </c>
      <c r="C18" s="66" t="s">
        <v>130</v>
      </c>
      <c r="D18" s="66">
        <v>345</v>
      </c>
      <c r="E18" s="66">
        <v>60</v>
      </c>
      <c r="F18" s="66">
        <f t="shared" si="0"/>
        <v>20700</v>
      </c>
    </row>
    <row r="19" spans="1:6" ht="15.75">
      <c r="A19" s="66" t="s">
        <v>122</v>
      </c>
      <c r="B19" s="66" t="s">
        <v>128</v>
      </c>
      <c r="C19" s="66" t="s">
        <v>131</v>
      </c>
      <c r="D19" s="66">
        <v>400</v>
      </c>
      <c r="E19" s="66">
        <v>70</v>
      </c>
      <c r="F19" s="66">
        <f t="shared" si="0"/>
        <v>28000</v>
      </c>
    </row>
  </sheetData>
  <autoFilter ref="A1:F19" xr:uid="{2FF6ED6E-1B02-4CBE-880B-F876835A6A1B}"/>
  <conditionalFormatting sqref="C2:C19">
    <cfRule type="cellIs" dxfId="1" priority="2" operator="equal">
      <formula>"Sayuri"</formula>
    </cfRule>
  </conditionalFormatting>
  <conditionalFormatting sqref="F2:F19">
    <cfRule type="cellIs" dxfId="0" priority="1" operator="greaterThan">
      <formula>20700</formula>
    </cfRule>
  </conditionalFormatting>
  <pageMargins left="0.7" right="0.7" top="0.75" bottom="0.75" header="0.3" footer="0.3"/>
  <pageSetup orientation="portrait" horizontalDpi="90" verticalDpi="9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DF402-C14B-4C80-A11E-E67697208C86}">
  <sheetPr codeName="Sheet12"/>
  <dimension ref="B2:F8"/>
  <sheetViews>
    <sheetView topLeftCell="B1" workbookViewId="0">
      <selection activeCell="B5" sqref="B5:D8"/>
    </sheetView>
  </sheetViews>
  <sheetFormatPr defaultRowHeight="15"/>
  <cols>
    <col min="2" max="2" width="14.7109375" bestFit="1" customWidth="1"/>
    <col min="3" max="3" width="25.42578125" bestFit="1" customWidth="1"/>
    <col min="4" max="4" width="14.28515625" bestFit="1" customWidth="1"/>
    <col min="5" max="5" width="94.7109375" bestFit="1" customWidth="1"/>
    <col min="6" max="6" width="14.28515625" bestFit="1" customWidth="1"/>
  </cols>
  <sheetData>
    <row r="2" spans="2:6">
      <c r="B2" s="63" t="s">
        <v>133</v>
      </c>
      <c r="C2" s="63" t="s">
        <v>134</v>
      </c>
    </row>
    <row r="4" spans="2:6">
      <c r="B4" s="62" t="s">
        <v>0</v>
      </c>
      <c r="C4" s="62" t="s">
        <v>135</v>
      </c>
      <c r="D4" s="62" t="s">
        <v>136</v>
      </c>
      <c r="E4" s="62" t="s">
        <v>145</v>
      </c>
      <c r="F4" s="62" t="s">
        <v>137</v>
      </c>
    </row>
    <row r="5" spans="2:6">
      <c r="B5" s="63" t="s">
        <v>138</v>
      </c>
      <c r="C5" s="63" t="s">
        <v>141</v>
      </c>
      <c r="D5" s="63">
        <v>500</v>
      </c>
      <c r="E5" s="63" t="str">
        <f>"Dear "&amp;B5&amp;"%0A%0AYour pending amount is: "&amp;D5&amp;"%0A %0APlease pay it before 31/7/2022.%0A%0AThank you! "</f>
        <v xml:space="preserve">Dear Kailesh Devani%0A%0AYour pending amount is: 500%0A %0APlease pay it before 31/7/2022.%0A%0AThank you! </v>
      </c>
      <c r="F5" s="67" t="str">
        <f>HYPERLINK("mailto:"&amp;C5&amp;"?subject="&amp;$C$2&amp;"&amp;body="&amp;E5,"Send Mail")</f>
        <v>Send Mail</v>
      </c>
    </row>
    <row r="6" spans="2:6">
      <c r="B6" s="63" t="s">
        <v>116</v>
      </c>
      <c r="C6" s="63" t="s">
        <v>142</v>
      </c>
      <c r="D6" s="63">
        <v>500</v>
      </c>
      <c r="E6" s="63" t="str">
        <f t="shared" ref="E6:E8" si="0">"Dear "&amp;B6&amp;"%0A%0AYour pending amount is: "&amp;D6&amp;"%0A %0APlease pay it before 31/7/2022.%0A%0AThank you! "</f>
        <v xml:space="preserve">Dear Basant Baid%0A%0AYour pending amount is: 500%0A %0APlease pay it before 31/7/2022.%0A%0AThank you! </v>
      </c>
      <c r="F6" s="67" t="str">
        <f t="shared" ref="F6:F8" si="1">HYPERLINK("mailto:"&amp;C6&amp;"?subject="&amp;$C$2&amp;"&amp;body="&amp;E6,"Send Mail")</f>
        <v>Send Mail</v>
      </c>
    </row>
    <row r="7" spans="2:6">
      <c r="B7" s="63" t="s">
        <v>139</v>
      </c>
      <c r="C7" s="67" t="s">
        <v>143</v>
      </c>
      <c r="D7" s="63">
        <v>500</v>
      </c>
      <c r="E7" s="63" t="str">
        <f t="shared" si="0"/>
        <v xml:space="preserve">Dear Viral Meghpara%0A%0AYour pending amount is: 500%0A %0APlease pay it before 31/7/2022.%0A%0AThank you! </v>
      </c>
      <c r="F7" s="67" t="str">
        <f t="shared" si="1"/>
        <v>Send Mail</v>
      </c>
    </row>
    <row r="8" spans="2:6">
      <c r="B8" s="63" t="s">
        <v>140</v>
      </c>
      <c r="C8" s="67" t="s">
        <v>144</v>
      </c>
      <c r="D8" s="63">
        <v>500</v>
      </c>
      <c r="E8" s="63" t="str">
        <f t="shared" si="0"/>
        <v xml:space="preserve">Dear Vinkal Meghpara%0A%0AYour pending amount is: 500%0A %0APlease pay it before 31/7/2022.%0A%0AThank you! </v>
      </c>
      <c r="F8" s="67" t="str">
        <f t="shared" si="1"/>
        <v>Send Mail</v>
      </c>
    </row>
  </sheetData>
  <hyperlinks>
    <hyperlink ref="C7" r:id="rId1" xr:uid="{FE296B51-A33F-44CC-A3EB-749FDA74C280}"/>
    <hyperlink ref="C8" r:id="rId2" xr:uid="{23ECFEA1-379E-41F2-A5A7-6C88C406743A}"/>
  </hyperlinks>
  <pageMargins left="0.7" right="0.7" top="0.75" bottom="0.75" header="0.3" footer="0.3"/>
  <pageSetup orientation="portrait" horizontalDpi="90" verticalDpi="90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FAFE-5455-4AAD-B038-B6FE767DCC58}">
  <sheetPr codeName="Sheet13"/>
  <dimension ref="A2:P15"/>
  <sheetViews>
    <sheetView workbookViewId="0">
      <selection activeCell="C18" sqref="C18"/>
    </sheetView>
  </sheetViews>
  <sheetFormatPr defaultRowHeight="15"/>
  <cols>
    <col min="2" max="2" width="14.7109375" bestFit="1" customWidth="1"/>
    <col min="3" max="3" width="25.42578125" bestFit="1" customWidth="1"/>
    <col min="4" max="4" width="7.42578125" bestFit="1" customWidth="1"/>
    <col min="5" max="5" width="73.7109375" bestFit="1" customWidth="1"/>
    <col min="6" max="6" width="14.28515625" bestFit="1" customWidth="1"/>
    <col min="15" max="15" width="6.85546875" bestFit="1" customWidth="1"/>
    <col min="16" max="16" width="40.28515625" bestFit="1" customWidth="1"/>
  </cols>
  <sheetData>
    <row r="2" spans="1:16">
      <c r="O2" s="63" t="s">
        <v>133</v>
      </c>
      <c r="P2" s="63" t="s">
        <v>134</v>
      </c>
    </row>
    <row r="3" spans="1:16">
      <c r="H3" t="s">
        <v>160</v>
      </c>
      <c r="O3" s="63" t="s">
        <v>146</v>
      </c>
      <c r="P3" s="67" t="s">
        <v>147</v>
      </c>
    </row>
    <row r="4" spans="1:16">
      <c r="B4" s="61" t="s">
        <v>0</v>
      </c>
      <c r="C4" s="61" t="s">
        <v>135</v>
      </c>
      <c r="D4" s="61" t="s">
        <v>28</v>
      </c>
      <c r="E4" s="61" t="s">
        <v>145</v>
      </c>
      <c r="F4" s="61" t="s">
        <v>137</v>
      </c>
    </row>
    <row r="5" spans="1:16">
      <c r="B5" s="63" t="s">
        <v>138</v>
      </c>
      <c r="C5" s="63" t="s">
        <v>141</v>
      </c>
      <c r="D5" s="63">
        <v>500</v>
      </c>
      <c r="E5" s="63" t="str">
        <f>"Dear "&amp;B5&amp;"%0a%0aYour due amount is: "&amp;D5&amp;"%0a%0aPlease pay it before 31/07/2022 %0a%0aThank you!"</f>
        <v>Dear Kailesh Devani%0a%0aYour due amount is: 500%0a%0aPlease pay it before 31/07/2022 %0a%0aThank you!</v>
      </c>
      <c r="F5" s="67" t="str">
        <f>HYPERLINK("mailto:"&amp;C5&amp;"?Subject="&amp;$P$2&amp;"&amp;CC="&amp;$P$3&amp;"&amp;body="&amp;E5,"Send Mail")</f>
        <v>Send Mail</v>
      </c>
    </row>
    <row r="6" spans="1:16">
      <c r="B6" s="63" t="s">
        <v>116</v>
      </c>
      <c r="C6" s="63" t="s">
        <v>142</v>
      </c>
      <c r="D6" s="63">
        <v>500</v>
      </c>
      <c r="E6" s="63" t="str">
        <f t="shared" ref="E6:E8" si="0">"Dear "&amp;B6&amp;"%0a%0aYour due amount is: "&amp;D6&amp;"%0a%0aPlease pay it before 31/07/2022 %0a%0aThank you!"</f>
        <v>Dear Basant Baid%0a%0aYour due amount is: 500%0a%0aPlease pay it before 31/07/2022 %0a%0aThank you!</v>
      </c>
      <c r="F6" s="67" t="str">
        <f t="shared" ref="F6:F8" si="1">HYPERLINK("mailto:"&amp;C6&amp;"?Subject="&amp;$P$2&amp;"&amp;CC="&amp;$P$3&amp;"&amp;body="&amp;E6,"Send Mail")</f>
        <v>Send Mail</v>
      </c>
    </row>
    <row r="7" spans="1:16">
      <c r="B7" s="63" t="s">
        <v>139</v>
      </c>
      <c r="C7" s="67" t="s">
        <v>143</v>
      </c>
      <c r="D7" s="63">
        <v>500</v>
      </c>
      <c r="E7" s="63" t="str">
        <f t="shared" si="0"/>
        <v>Dear Viral Meghpara%0a%0aYour due amount is: 500%0a%0aPlease pay it before 31/07/2022 %0a%0aThank you!</v>
      </c>
      <c r="F7" s="67" t="str">
        <f t="shared" si="1"/>
        <v>Send Mail</v>
      </c>
    </row>
    <row r="8" spans="1:16">
      <c r="B8" s="63" t="s">
        <v>140</v>
      </c>
      <c r="C8" s="67" t="s">
        <v>144</v>
      </c>
      <c r="D8" s="63">
        <v>500</v>
      </c>
      <c r="E8" s="63" t="str">
        <f t="shared" si="0"/>
        <v>Dear Vinkal Meghpara%0a%0aYour due amount is: 500%0a%0aPlease pay it before 31/07/2022 %0a%0aThank you!</v>
      </c>
      <c r="F8" s="67" t="str">
        <f t="shared" si="1"/>
        <v>Send Mail</v>
      </c>
    </row>
    <row r="15" spans="1:16">
      <c r="A15" t="s">
        <v>160</v>
      </c>
    </row>
  </sheetData>
  <hyperlinks>
    <hyperlink ref="P3" r:id="rId1" xr:uid="{ACA0E555-E440-4071-AFF8-09EB853ADFA4}"/>
    <hyperlink ref="C7" r:id="rId2" xr:uid="{18A28586-71FC-4B44-A83C-F1BE2FED0572}"/>
    <hyperlink ref="C8" r:id="rId3" xr:uid="{FF1CCF5E-F38C-4648-BA85-3B6730DF38E4}"/>
  </hyperlinks>
  <pageMargins left="0.7" right="0.7" top="0.75" bottom="0.75" header="0.3" footer="0.3"/>
  <pageSetup orientation="portrait" horizontalDpi="90" verticalDpi="90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FF9D8-4EEF-4D03-AB9F-1031D52F02B5}">
  <sheetPr codeName="Sheet5"/>
  <dimension ref="B9:G22"/>
  <sheetViews>
    <sheetView workbookViewId="0">
      <selection activeCell="C12" sqref="C12"/>
    </sheetView>
  </sheetViews>
  <sheetFormatPr defaultRowHeight="15"/>
  <cols>
    <col min="2" max="2" width="10.42578125" bestFit="1" customWidth="1"/>
    <col min="3" max="3" width="45.7109375" bestFit="1" customWidth="1"/>
    <col min="5" max="5" width="101.7109375" bestFit="1" customWidth="1"/>
    <col min="6" max="6" width="101.7109375" customWidth="1"/>
    <col min="7" max="7" width="13.7109375" bestFit="1" customWidth="1"/>
  </cols>
  <sheetData>
    <row r="9" spans="2:7">
      <c r="B9" s="62" t="s">
        <v>0</v>
      </c>
      <c r="C9" s="62" t="s">
        <v>148</v>
      </c>
      <c r="D9" s="62" t="s">
        <v>28</v>
      </c>
      <c r="E9" s="62" t="s">
        <v>154</v>
      </c>
      <c r="F9" s="62" t="s">
        <v>159</v>
      </c>
      <c r="G9" s="62" t="s">
        <v>155</v>
      </c>
    </row>
    <row r="10" spans="2:7">
      <c r="B10" s="63" t="s">
        <v>132</v>
      </c>
      <c r="C10" s="67" t="s">
        <v>143</v>
      </c>
      <c r="D10" s="63">
        <v>20000</v>
      </c>
      <c r="E10" s="63" t="str">
        <f>"Dear "&amp;B10&amp;"%0a%0aYou have a total outstanding of rs: "&amp;D10&amp;"%0a%0aPlease pay it before 15/7/2022.%0a%0a Thank you !"</f>
        <v>Dear Viral%0a%0aYou have a total outstanding of rs: 20000%0a%0aPlease pay it before 15/7/2022.%0a%0a Thank you !</v>
      </c>
      <c r="F10" s="63" t="s">
        <v>153</v>
      </c>
      <c r="G10" s="67" t="str">
        <f>HYPERLINK("mailto: "&amp;C10&amp;"?subject="&amp;$C$20&amp;"&amp;cc="&amp;$C$21&amp;"&amp;body="&amp;E10,"Send Mail")</f>
        <v>Send Mail</v>
      </c>
    </row>
    <row r="11" spans="2:7">
      <c r="B11" s="63" t="s">
        <v>156</v>
      </c>
      <c r="C11" s="67" t="s">
        <v>144</v>
      </c>
      <c r="D11" s="63">
        <v>25000</v>
      </c>
      <c r="E11" s="63" t="str">
        <f t="shared" ref="E11:E12" si="0">"Dear "&amp;B11&amp;"%0a%0aYou have a total outstanding of rs: "&amp;D11&amp;"%0a%0aPlease pay it before 15/7/2022.%0a%0a Thank you !"</f>
        <v>Dear Vinkal%0a%0aYou have a total outstanding of rs: 25000%0a%0aPlease pay it before 15/7/2022.%0a%0a Thank you !</v>
      </c>
      <c r="F11" s="63"/>
      <c r="G11" s="67" t="str">
        <f t="shared" ref="G11:G12" si="1">HYPERLINK("mailto: "&amp;C11&amp;"?subject="&amp;$C$20&amp;"&amp;cc="&amp;$C$21&amp;"&amp;body="&amp;E11,"Send Mail")</f>
        <v>Send Mail</v>
      </c>
    </row>
    <row r="12" spans="2:7">
      <c r="B12" s="63" t="s">
        <v>157</v>
      </c>
      <c r="C12" s="67" t="s">
        <v>158</v>
      </c>
      <c r="D12" s="63">
        <v>40000</v>
      </c>
      <c r="E12" s="63" t="str">
        <f t="shared" si="0"/>
        <v>Dear Hiren%0a%0aYou have a total outstanding of rs: 40000%0a%0aPlease pay it before 15/7/2022.%0a%0a Thank you !</v>
      </c>
      <c r="F12" s="63"/>
      <c r="G12" s="67" t="str">
        <f t="shared" si="1"/>
        <v>Send Mail</v>
      </c>
    </row>
    <row r="20" spans="2:3">
      <c r="B20" s="63" t="s">
        <v>133</v>
      </c>
      <c r="C20" s="63" t="s">
        <v>150</v>
      </c>
    </row>
    <row r="21" spans="2:3">
      <c r="B21" s="63" t="s">
        <v>149</v>
      </c>
      <c r="C21" s="67" t="s">
        <v>151</v>
      </c>
    </row>
    <row r="22" spans="2:3">
      <c r="B22" t="s">
        <v>152</v>
      </c>
      <c r="C22" t="s">
        <v>153</v>
      </c>
    </row>
  </sheetData>
  <hyperlinks>
    <hyperlink ref="C21" r:id="rId1" xr:uid="{FFBA5FF9-87C9-4271-B714-73A331756AF9}"/>
    <hyperlink ref="C10" r:id="rId2" xr:uid="{54EBC01F-AA20-4E5D-8ED9-F3AB7EDC8849}"/>
    <hyperlink ref="C11" r:id="rId3" xr:uid="{0F4E9C60-2BED-48F0-B5D4-96483DBFD25A}"/>
    <hyperlink ref="C12" r:id="rId4" xr:uid="{9C6B033D-9E5C-47BF-B814-570D631BAF4B}"/>
  </hyperlinks>
  <pageMargins left="0.7" right="0.7" top="0.75" bottom="0.75" header="0.3" footer="0.3"/>
  <pageSetup orientation="portrait" horizontalDpi="90" verticalDpi="90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E711B-57CB-4DC6-9A6D-35698A5A3C98}">
  <sheetPr codeName="Sheet8"/>
  <dimension ref="A9:B13"/>
  <sheetViews>
    <sheetView workbookViewId="0">
      <selection activeCell="C17" sqref="C17"/>
    </sheetView>
  </sheetViews>
  <sheetFormatPr defaultRowHeight="15"/>
  <cols>
    <col min="3" max="3" width="12.85546875" bestFit="1" customWidth="1"/>
    <col min="8" max="8" width="16.7109375" bestFit="1" customWidth="1"/>
  </cols>
  <sheetData>
    <row r="9" spans="1:2">
      <c r="A9" t="s">
        <v>161</v>
      </c>
      <c r="B9">
        <v>9</v>
      </c>
    </row>
    <row r="10" spans="1:2">
      <c r="A10" t="s">
        <v>162</v>
      </c>
      <c r="B10">
        <v>35</v>
      </c>
    </row>
    <row r="11" spans="1:2">
      <c r="A11" t="s">
        <v>163</v>
      </c>
      <c r="B11" t="s">
        <v>179</v>
      </c>
    </row>
    <row r="12" spans="1:2">
      <c r="A12" t="s">
        <v>164</v>
      </c>
      <c r="B12">
        <v>125</v>
      </c>
    </row>
    <row r="13" spans="1:2">
      <c r="A13" t="s">
        <v>165</v>
      </c>
      <c r="B13">
        <v>500</v>
      </c>
    </row>
  </sheetData>
  <pageMargins left="0.7" right="0.7" top="0.75" bottom="0.75" header="0.3" footer="0.3"/>
  <pageSetup orientation="portrait" horizontalDpi="90" verticalDpi="9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9DBCF-91E7-49EA-A54E-A093DA1D86E0}">
  <sheetPr codeName="Sheet6"/>
  <dimension ref="A1:E10"/>
  <sheetViews>
    <sheetView workbookViewId="0">
      <selection activeCell="A10" sqref="A10:E10"/>
    </sheetView>
  </sheetViews>
  <sheetFormatPr defaultRowHeight="15"/>
  <sheetData>
    <row r="1" spans="1:5">
      <c r="A1" t="s">
        <v>166</v>
      </c>
      <c r="B1" t="s">
        <v>162</v>
      </c>
      <c r="C1" t="s">
        <v>163</v>
      </c>
      <c r="D1" t="s">
        <v>164</v>
      </c>
      <c r="E1" t="s">
        <v>165</v>
      </c>
    </row>
    <row r="2" spans="1:5">
      <c r="A2">
        <v>1</v>
      </c>
      <c r="B2">
        <v>20</v>
      </c>
      <c r="C2" t="s">
        <v>167</v>
      </c>
      <c r="D2">
        <v>266</v>
      </c>
      <c r="E2">
        <v>500</v>
      </c>
    </row>
    <row r="3" spans="1:5">
      <c r="A3">
        <v>2</v>
      </c>
      <c r="B3">
        <v>21</v>
      </c>
      <c r="C3" t="s">
        <v>168</v>
      </c>
      <c r="D3">
        <v>270</v>
      </c>
      <c r="E3">
        <v>500</v>
      </c>
    </row>
    <row r="4" spans="1:5">
      <c r="A4">
        <v>3</v>
      </c>
      <c r="B4">
        <v>22</v>
      </c>
      <c r="C4" t="s">
        <v>169</v>
      </c>
      <c r="D4">
        <v>300</v>
      </c>
      <c r="E4">
        <v>500</v>
      </c>
    </row>
    <row r="5" spans="1:5">
      <c r="A5">
        <v>4</v>
      </c>
      <c r="B5">
        <v>23</v>
      </c>
      <c r="C5" t="s">
        <v>170</v>
      </c>
      <c r="D5">
        <v>320</v>
      </c>
      <c r="E5">
        <v>500</v>
      </c>
    </row>
    <row r="6" spans="1:5">
      <c r="A6">
        <v>5</v>
      </c>
      <c r="B6">
        <v>26</v>
      </c>
      <c r="C6" t="s">
        <v>171</v>
      </c>
      <c r="D6">
        <v>341</v>
      </c>
      <c r="E6">
        <v>500</v>
      </c>
    </row>
    <row r="7" spans="1:5">
      <c r="A7">
        <v>6</v>
      </c>
      <c r="B7">
        <v>38</v>
      </c>
      <c r="C7" t="s">
        <v>172</v>
      </c>
      <c r="D7">
        <v>289</v>
      </c>
      <c r="E7">
        <v>500</v>
      </c>
    </row>
    <row r="8" spans="1:5">
      <c r="A8">
        <v>7</v>
      </c>
      <c r="B8">
        <v>12</v>
      </c>
      <c r="C8" t="s">
        <v>177</v>
      </c>
      <c r="D8">
        <v>300</v>
      </c>
      <c r="E8">
        <v>500</v>
      </c>
    </row>
    <row r="9" spans="1:5">
      <c r="A9">
        <v>8</v>
      </c>
      <c r="B9">
        <v>30</v>
      </c>
      <c r="C9" t="s">
        <v>178</v>
      </c>
      <c r="D9">
        <v>256</v>
      </c>
      <c r="E9">
        <v>500</v>
      </c>
    </row>
    <row r="10" spans="1:5">
      <c r="A10">
        <v>9</v>
      </c>
      <c r="B10">
        <v>35</v>
      </c>
      <c r="C10" t="s">
        <v>179</v>
      </c>
      <c r="D10">
        <v>125</v>
      </c>
      <c r="E10">
        <v>500</v>
      </c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D18508-30F9-401C-AAD9-E3780C303A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Sheet7</vt:lpstr>
      <vt:lpstr>Sheet3</vt:lpstr>
      <vt:lpstr>Sheet10</vt:lpstr>
      <vt:lpstr>Sheet33</vt:lpstr>
      <vt:lpstr>Sheet37</vt:lpstr>
      <vt:lpstr>Sheet39</vt:lpstr>
      <vt:lpstr>Sheet42</vt:lpstr>
      <vt:lpstr>Sheet49</vt:lpstr>
      <vt:lpstr>coding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Meghpara, Viral M</dc:creator>
  <cp:lastModifiedBy>Vinkal</cp:lastModifiedBy>
  <cp:lastPrinted>2022-07-09T12:42:21Z</cp:lastPrinted>
  <dcterms:created xsi:type="dcterms:W3CDTF">2022-07-06T12:37:39Z</dcterms:created>
  <dcterms:modified xsi:type="dcterms:W3CDTF">2022-07-11T13:58:07Z</dcterms:modified>
</cp:coreProperties>
</file>